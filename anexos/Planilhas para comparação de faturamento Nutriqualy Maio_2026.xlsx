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0890" windowHeight="7230"/>
  </bookViews>
  <sheets>
    <sheet name="Ponte de Comando" sheetId="1" r:id="rId1"/>
    <sheet name="Relatório Vendas por Pedido" sheetId="2" r:id="rId2"/>
    <sheet name="Comissão Vendedores" sheetId="4" r:id="rId3"/>
    <sheet name="Relatório Vendas por NF" sheetId="3" r:id="rId4"/>
  </sheets>
  <definedNames>
    <definedName name="_xlnm._FilterDatabase" localSheetId="3" hidden="1">'Relatório Vendas por NF'!$A$1:$G$254</definedName>
    <definedName name="_xlnm._FilterDatabase" localSheetId="1" hidden="1">'Relatório Vendas por Pedido'!$A$1:$J$252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9" i="1" l="1"/>
  <c r="H209" i="1" s="1"/>
  <c r="G210" i="1"/>
  <c r="H210" i="1" s="1"/>
  <c r="G16" i="2"/>
  <c r="G22" i="1" s="1"/>
  <c r="H22" i="1" s="1"/>
  <c r="G17" i="2"/>
  <c r="G47" i="1" s="1"/>
  <c r="H47" i="1" s="1"/>
  <c r="G18" i="2"/>
  <c r="I18" i="2" s="1"/>
  <c r="G19" i="2"/>
  <c r="G48" i="1" s="1"/>
  <c r="H48" i="1" s="1"/>
  <c r="G20" i="2"/>
  <c r="G153" i="1" s="1"/>
  <c r="H153" i="1" s="1"/>
  <c r="G21" i="2"/>
  <c r="G49" i="1" s="1"/>
  <c r="H49" i="1" s="1"/>
  <c r="G22" i="2"/>
  <c r="G149" i="1" s="1"/>
  <c r="H149" i="1" s="1"/>
  <c r="G23" i="2"/>
  <c r="G12" i="1" s="1"/>
  <c r="H12" i="1" s="1"/>
  <c r="G24" i="2"/>
  <c r="G30" i="1" s="1"/>
  <c r="H30" i="1" s="1"/>
  <c r="G25" i="2"/>
  <c r="G7" i="1" s="1"/>
  <c r="H7" i="1" s="1"/>
  <c r="G26" i="2"/>
  <c r="G215" i="1" s="1"/>
  <c r="H215" i="1" s="1"/>
  <c r="G27" i="2"/>
  <c r="I27" i="2" s="1"/>
  <c r="G28" i="2"/>
  <c r="G50" i="1" s="1"/>
  <c r="H50" i="1" s="1"/>
  <c r="G29" i="2"/>
  <c r="G51" i="1" s="1"/>
  <c r="H51" i="1" s="1"/>
  <c r="G30" i="2"/>
  <c r="G52" i="1" s="1"/>
  <c r="H52" i="1" s="1"/>
  <c r="G31" i="2"/>
  <c r="G233" i="1" s="1"/>
  <c r="H233" i="1" s="1"/>
  <c r="G32" i="2"/>
  <c r="G173" i="1" s="1"/>
  <c r="H173" i="1" s="1"/>
  <c r="G33" i="2"/>
  <c r="G190" i="1" s="1"/>
  <c r="H190" i="1" s="1"/>
  <c r="G34" i="2"/>
  <c r="G167" i="1" s="1"/>
  <c r="H167" i="1" s="1"/>
  <c r="G35" i="2"/>
  <c r="G53" i="1" s="1"/>
  <c r="H53" i="1" s="1"/>
  <c r="G36" i="2"/>
  <c r="G253" i="1" s="1"/>
  <c r="H253" i="1" s="1"/>
  <c r="G37" i="2"/>
  <c r="G54" i="1" s="1"/>
  <c r="H54" i="1" s="1"/>
  <c r="G38" i="2"/>
  <c r="G55" i="1" s="1"/>
  <c r="H55" i="1" s="1"/>
  <c r="G39" i="2"/>
  <c r="G27" i="1" s="1"/>
  <c r="H27" i="1" s="1"/>
  <c r="G40" i="2"/>
  <c r="G243" i="1" s="1"/>
  <c r="H243" i="1" s="1"/>
  <c r="G41" i="2"/>
  <c r="G56" i="1" s="1"/>
  <c r="H56" i="1" s="1"/>
  <c r="G42" i="2"/>
  <c r="G43" i="2"/>
  <c r="G40" i="1" s="1"/>
  <c r="H40" i="1" s="1"/>
  <c r="G44" i="2"/>
  <c r="G196" i="1" s="1"/>
  <c r="H196" i="1" s="1"/>
  <c r="G45" i="2"/>
  <c r="G142" i="1" s="1"/>
  <c r="H142" i="1" s="1"/>
  <c r="G46" i="2"/>
  <c r="G57" i="1" s="1"/>
  <c r="H57" i="1" s="1"/>
  <c r="G47" i="2"/>
  <c r="G152" i="1" s="1"/>
  <c r="H152" i="1" s="1"/>
  <c r="G48" i="2"/>
  <c r="G11" i="1" s="1"/>
  <c r="H11" i="1" s="1"/>
  <c r="G49" i="2"/>
  <c r="G58" i="1" s="1"/>
  <c r="H58" i="1" s="1"/>
  <c r="G50" i="2"/>
  <c r="G224" i="1" s="1"/>
  <c r="H224" i="1" s="1"/>
  <c r="G51" i="2"/>
  <c r="G59" i="1" s="1"/>
  <c r="H59" i="1" s="1"/>
  <c r="G52" i="2"/>
  <c r="I52" i="2" s="1"/>
  <c r="J52" i="2" s="1"/>
  <c r="G53" i="2"/>
  <c r="G54" i="2"/>
  <c r="G235" i="1" s="1"/>
  <c r="H235" i="1" s="1"/>
  <c r="G55" i="2"/>
  <c r="G180" i="1" s="1"/>
  <c r="H180" i="1" s="1"/>
  <c r="G56" i="2"/>
  <c r="G60" i="1" s="1"/>
  <c r="H60" i="1" s="1"/>
  <c r="G57" i="2"/>
  <c r="G208" i="1" s="1"/>
  <c r="H208" i="1" s="1"/>
  <c r="G58" i="2"/>
  <c r="G222" i="1" s="1"/>
  <c r="H222" i="1" s="1"/>
  <c r="G59" i="2"/>
  <c r="G26" i="1" s="1"/>
  <c r="H26" i="1" s="1"/>
  <c r="G60" i="2"/>
  <c r="G229" i="1" s="1"/>
  <c r="H229" i="1" s="1"/>
  <c r="G61" i="2"/>
  <c r="G34" i="1" s="1"/>
  <c r="H34" i="1" s="1"/>
  <c r="G62" i="2"/>
  <c r="G242" i="1" s="1"/>
  <c r="H242" i="1" s="1"/>
  <c r="G63" i="2"/>
  <c r="G61" i="1" s="1"/>
  <c r="H61" i="1" s="1"/>
  <c r="G64" i="2"/>
  <c r="G148" i="1" s="1"/>
  <c r="H148" i="1" s="1"/>
  <c r="G65" i="2"/>
  <c r="G228" i="1" s="1"/>
  <c r="H228" i="1" s="1"/>
  <c r="G66" i="2"/>
  <c r="G67" i="2"/>
  <c r="G62" i="1" s="1"/>
  <c r="H62" i="1" s="1"/>
  <c r="G68" i="2"/>
  <c r="G223" i="1" s="1"/>
  <c r="H223" i="1" s="1"/>
  <c r="G69" i="2"/>
  <c r="G70" i="2"/>
  <c r="G63" i="1" s="1"/>
  <c r="H63" i="1" s="1"/>
  <c r="G71" i="2"/>
  <c r="G64" i="1" s="1"/>
  <c r="H64" i="1" s="1"/>
  <c r="G72" i="2"/>
  <c r="G65" i="1" s="1"/>
  <c r="H65" i="1" s="1"/>
  <c r="G73" i="2"/>
  <c r="G226" i="1" s="1"/>
  <c r="H226" i="1" s="1"/>
  <c r="G74" i="2"/>
  <c r="G247" i="1" s="1"/>
  <c r="H247" i="1" s="1"/>
  <c r="G75" i="2"/>
  <c r="G23" i="1" s="1"/>
  <c r="H23" i="1" s="1"/>
  <c r="G76" i="2"/>
  <c r="G66" i="1" s="1"/>
  <c r="H66" i="1" s="1"/>
  <c r="G77" i="2"/>
  <c r="G78" i="2"/>
  <c r="I78" i="2" s="1"/>
  <c r="G79" i="2"/>
  <c r="G191" i="1" s="1"/>
  <c r="H191" i="1" s="1"/>
  <c r="G80" i="2"/>
  <c r="G67" i="1" s="1"/>
  <c r="H67" i="1" s="1"/>
  <c r="G81" i="2"/>
  <c r="G19" i="1" s="1"/>
  <c r="H19" i="1" s="1"/>
  <c r="G82" i="2"/>
  <c r="G8" i="1" s="1"/>
  <c r="H8" i="1" s="1"/>
  <c r="G83" i="2"/>
  <c r="I83" i="2" s="1"/>
  <c r="G84" i="2"/>
  <c r="G164" i="1" s="1"/>
  <c r="H164" i="1" s="1"/>
  <c r="G85" i="2"/>
  <c r="G68" i="1" s="1"/>
  <c r="H68" i="1" s="1"/>
  <c r="G86" i="2"/>
  <c r="G248" i="1" s="1"/>
  <c r="H248" i="1" s="1"/>
  <c r="G87" i="2"/>
  <c r="G69" i="1" s="1"/>
  <c r="H69" i="1" s="1"/>
  <c r="G88" i="2"/>
  <c r="G70" i="1" s="1"/>
  <c r="H70" i="1" s="1"/>
  <c r="G89" i="2"/>
  <c r="G156" i="1" s="1"/>
  <c r="H156" i="1" s="1"/>
  <c r="G90" i="2"/>
  <c r="G71" i="1" s="1"/>
  <c r="H71" i="1" s="1"/>
  <c r="G91" i="2"/>
  <c r="G72" i="1" s="1"/>
  <c r="H72" i="1" s="1"/>
  <c r="G92" i="2"/>
  <c r="G230" i="1" s="1"/>
  <c r="H230" i="1" s="1"/>
  <c r="G93" i="2"/>
  <c r="G43" i="1" s="1"/>
  <c r="H43" i="1" s="1"/>
  <c r="G94" i="2"/>
  <c r="G95" i="2"/>
  <c r="G73" i="1" s="1"/>
  <c r="H73" i="1" s="1"/>
  <c r="G96" i="2"/>
  <c r="G74" i="1" s="1"/>
  <c r="H74" i="1" s="1"/>
  <c r="G97" i="2"/>
  <c r="G75" i="1" s="1"/>
  <c r="H75" i="1" s="1"/>
  <c r="G98" i="2"/>
  <c r="G99" i="2"/>
  <c r="G236" i="1" s="1"/>
  <c r="H236" i="1" s="1"/>
  <c r="G100" i="2"/>
  <c r="G76" i="1" s="1"/>
  <c r="H76" i="1" s="1"/>
  <c r="G101" i="2"/>
  <c r="G77" i="1" s="1"/>
  <c r="H77" i="1" s="1"/>
  <c r="G102" i="2"/>
  <c r="G78" i="1" s="1"/>
  <c r="H78" i="1" s="1"/>
  <c r="G103" i="2"/>
  <c r="G79" i="1" s="1"/>
  <c r="H79" i="1" s="1"/>
  <c r="G104" i="2"/>
  <c r="G80" i="1" s="1"/>
  <c r="H80" i="1" s="1"/>
  <c r="G105" i="2"/>
  <c r="G28" i="1" s="1"/>
  <c r="H28" i="1" s="1"/>
  <c r="G106" i="2"/>
  <c r="G194" i="1" s="1"/>
  <c r="H194" i="1" s="1"/>
  <c r="G107" i="2"/>
  <c r="G160" i="1" s="1"/>
  <c r="H160" i="1" s="1"/>
  <c r="G108" i="2"/>
  <c r="G81" i="1" s="1"/>
  <c r="H81" i="1" s="1"/>
  <c r="G109" i="2"/>
  <c r="G82" i="1" s="1"/>
  <c r="H82" i="1" s="1"/>
  <c r="G110" i="2"/>
  <c r="G139" i="1" s="1"/>
  <c r="H139" i="1" s="1"/>
  <c r="G111" i="2"/>
  <c r="G112" i="2"/>
  <c r="G145" i="1" s="1"/>
  <c r="H145" i="1" s="1"/>
  <c r="G113" i="2"/>
  <c r="G114" i="2"/>
  <c r="G115" i="2"/>
  <c r="G146" i="1" s="1"/>
  <c r="H146" i="1" s="1"/>
  <c r="G116" i="2"/>
  <c r="G84" i="1" s="1"/>
  <c r="H84" i="1" s="1"/>
  <c r="G117" i="2"/>
  <c r="G150" i="1" s="1"/>
  <c r="H150" i="1" s="1"/>
  <c r="G118" i="2"/>
  <c r="G17" i="1" s="1"/>
  <c r="H17" i="1" s="1"/>
  <c r="G119" i="2"/>
  <c r="G85" i="1" s="1"/>
  <c r="H85" i="1" s="1"/>
  <c r="G120" i="2"/>
  <c r="G86" i="1" s="1"/>
  <c r="H86" i="1" s="1"/>
  <c r="G121" i="2"/>
  <c r="G122" i="2"/>
  <c r="G88" i="1" s="1"/>
  <c r="H88" i="1" s="1"/>
  <c r="G123" i="2"/>
  <c r="G238" i="1" s="1"/>
  <c r="H238" i="1" s="1"/>
  <c r="G124" i="2"/>
  <c r="G250" i="1" s="1"/>
  <c r="H250" i="1" s="1"/>
  <c r="G125" i="2"/>
  <c r="G205" i="1" s="1"/>
  <c r="H205" i="1" s="1"/>
  <c r="G126" i="2"/>
  <c r="G89" i="1" s="1"/>
  <c r="H89" i="1" s="1"/>
  <c r="G127" i="2"/>
  <c r="G90" i="1" s="1"/>
  <c r="H90" i="1" s="1"/>
  <c r="G128" i="2"/>
  <c r="G91" i="1" s="1"/>
  <c r="H91" i="1" s="1"/>
  <c r="G129" i="2"/>
  <c r="G218" i="1" s="1"/>
  <c r="H218" i="1" s="1"/>
  <c r="G130" i="2"/>
  <c r="G131" i="2"/>
  <c r="G46" i="1" s="1"/>
  <c r="H46" i="1" s="1"/>
  <c r="G132" i="2"/>
  <c r="G241" i="1" s="1"/>
  <c r="H241" i="1" s="1"/>
  <c r="G133" i="2"/>
  <c r="G36" i="1" s="1"/>
  <c r="H36" i="1" s="1"/>
  <c r="G134" i="2"/>
  <c r="G251" i="1" s="1"/>
  <c r="H251" i="1" s="1"/>
  <c r="G135" i="2"/>
  <c r="G244" i="1" s="1"/>
  <c r="H244" i="1" s="1"/>
  <c r="G136" i="2"/>
  <c r="G44" i="1" s="1"/>
  <c r="H44" i="1" s="1"/>
  <c r="G137" i="2"/>
  <c r="G188" i="1" s="1"/>
  <c r="H188" i="1" s="1"/>
  <c r="G138" i="2"/>
  <c r="G197" i="1" s="1"/>
  <c r="H197" i="1" s="1"/>
  <c r="G139" i="2"/>
  <c r="I139" i="2" s="1"/>
  <c r="G140" i="2"/>
  <c r="G94" i="1" s="1"/>
  <c r="H94" i="1" s="1"/>
  <c r="G141" i="2"/>
  <c r="G95" i="1" s="1"/>
  <c r="H95" i="1" s="1"/>
  <c r="G142" i="2"/>
  <c r="G96" i="1" s="1"/>
  <c r="H96" i="1" s="1"/>
  <c r="G143" i="2"/>
  <c r="G249" i="1" s="1"/>
  <c r="H249" i="1" s="1"/>
  <c r="G144" i="2"/>
  <c r="G97" i="1" s="1"/>
  <c r="H97" i="1" s="1"/>
  <c r="G145" i="2"/>
  <c r="G98" i="1" s="1"/>
  <c r="H98" i="1" s="1"/>
  <c r="G146" i="2"/>
  <c r="G99" i="1" s="1"/>
  <c r="H99" i="1" s="1"/>
  <c r="G147" i="2"/>
  <c r="G200" i="1" s="1"/>
  <c r="H200" i="1" s="1"/>
  <c r="G148" i="2"/>
  <c r="G100" i="1" s="1"/>
  <c r="H100" i="1" s="1"/>
  <c r="G149" i="2"/>
  <c r="G29" i="1" s="1"/>
  <c r="H29" i="1" s="1"/>
  <c r="G150" i="2"/>
  <c r="G101" i="1" s="1"/>
  <c r="H101" i="1" s="1"/>
  <c r="G151" i="2"/>
  <c r="G102" i="1" s="1"/>
  <c r="H102" i="1" s="1"/>
  <c r="G152" i="2"/>
  <c r="G171" i="1" s="1"/>
  <c r="H171" i="1" s="1"/>
  <c r="G153" i="2"/>
  <c r="G5" i="1" s="1"/>
  <c r="H5" i="1" s="1"/>
  <c r="G154" i="2"/>
  <c r="G15" i="1" s="1"/>
  <c r="H15" i="1" s="1"/>
  <c r="G155" i="2"/>
  <c r="I155" i="2" s="1"/>
  <c r="G156" i="2"/>
  <c r="G9" i="1" s="1"/>
  <c r="H9" i="1" s="1"/>
  <c r="G157" i="2"/>
  <c r="G104" i="1" s="1"/>
  <c r="H104" i="1" s="1"/>
  <c r="G158" i="2"/>
  <c r="G105" i="1" s="1"/>
  <c r="H105" i="1" s="1"/>
  <c r="G159" i="2"/>
  <c r="G157" i="1" s="1"/>
  <c r="H157" i="1" s="1"/>
  <c r="G160" i="2"/>
  <c r="I160" i="2" s="1"/>
  <c r="J160" i="2" s="1"/>
  <c r="G161" i="2"/>
  <c r="G165" i="1" s="1"/>
  <c r="H165" i="1" s="1"/>
  <c r="G162" i="2"/>
  <c r="G106" i="1" s="1"/>
  <c r="H106" i="1" s="1"/>
  <c r="G163" i="2"/>
  <c r="G107" i="1" s="1"/>
  <c r="H107" i="1" s="1"/>
  <c r="G164" i="2"/>
  <c r="G108" i="1" s="1"/>
  <c r="H108" i="1" s="1"/>
  <c r="G165" i="2"/>
  <c r="G172" i="1" s="1"/>
  <c r="H172" i="1" s="1"/>
  <c r="G166" i="2"/>
  <c r="G167" i="2"/>
  <c r="G110" i="1" s="1"/>
  <c r="H110" i="1" s="1"/>
  <c r="G168" i="2"/>
  <c r="G170" i="1" s="1"/>
  <c r="H170" i="1" s="1"/>
  <c r="G169" i="2"/>
  <c r="G2" i="1" s="1"/>
  <c r="H2" i="1" s="1"/>
  <c r="G170" i="2"/>
  <c r="G37" i="1" s="1"/>
  <c r="H37" i="1" s="1"/>
  <c r="G171" i="2"/>
  <c r="G111" i="1" s="1"/>
  <c r="H111" i="1" s="1"/>
  <c r="G172" i="2"/>
  <c r="G239" i="1" s="1"/>
  <c r="H239" i="1" s="1"/>
  <c r="G173" i="2"/>
  <c r="G168" i="1" s="1"/>
  <c r="H168" i="1" s="1"/>
  <c r="G174" i="2"/>
  <c r="G177" i="1" s="1"/>
  <c r="H177" i="1" s="1"/>
  <c r="G175" i="2"/>
  <c r="I175" i="2" s="1"/>
  <c r="G176" i="2"/>
  <c r="G252" i="1" s="1"/>
  <c r="H252" i="1" s="1"/>
  <c r="G177" i="2"/>
  <c r="G113" i="1" s="1"/>
  <c r="H113" i="1" s="1"/>
  <c r="G178" i="2"/>
  <c r="I178" i="2" s="1"/>
  <c r="G179" i="2"/>
  <c r="G115" i="1" s="1"/>
  <c r="H115" i="1" s="1"/>
  <c r="G180" i="2"/>
  <c r="G237" i="1" s="1"/>
  <c r="H237" i="1" s="1"/>
  <c r="G181" i="2"/>
  <c r="G25" i="1" s="1"/>
  <c r="H25" i="1" s="1"/>
  <c r="G182" i="2"/>
  <c r="G186" i="1" s="1"/>
  <c r="H186" i="1" s="1"/>
  <c r="G183" i="2"/>
  <c r="G183" i="1" s="1"/>
  <c r="H183" i="1" s="1"/>
  <c r="G184" i="2"/>
  <c r="G245" i="1" s="1"/>
  <c r="H245" i="1" s="1"/>
  <c r="G185" i="2"/>
  <c r="G206" i="1" s="1"/>
  <c r="H206" i="1" s="1"/>
  <c r="G186" i="2"/>
  <c r="G187" i="2"/>
  <c r="G117" i="1" s="1"/>
  <c r="H117" i="1" s="1"/>
  <c r="G188" i="2"/>
  <c r="G198" i="1" s="1"/>
  <c r="H198" i="1" s="1"/>
  <c r="G189" i="2"/>
  <c r="G41" i="1" s="1"/>
  <c r="H41" i="1" s="1"/>
  <c r="G190" i="2"/>
  <c r="G216" i="1" s="1"/>
  <c r="H216" i="1" s="1"/>
  <c r="G191" i="2"/>
  <c r="G246" i="1" s="1"/>
  <c r="H246" i="1" s="1"/>
  <c r="G192" i="2"/>
  <c r="G217" i="1" s="1"/>
  <c r="H217" i="1" s="1"/>
  <c r="G193" i="2"/>
  <c r="I193" i="2" s="1"/>
  <c r="G194" i="2"/>
  <c r="G119" i="1" s="1"/>
  <c r="H119" i="1" s="1"/>
  <c r="G195" i="2"/>
  <c r="G140" i="1" s="1"/>
  <c r="H140" i="1" s="1"/>
  <c r="G196" i="2"/>
  <c r="I196" i="2" s="1"/>
  <c r="G197" i="2"/>
  <c r="G221" i="1" s="1"/>
  <c r="H221" i="1" s="1"/>
  <c r="G198" i="2"/>
  <c r="G227" i="1" s="1"/>
  <c r="H227" i="1" s="1"/>
  <c r="G199" i="2"/>
  <c r="I199" i="2" s="1"/>
  <c r="G200" i="2"/>
  <c r="G120" i="1" s="1"/>
  <c r="H120" i="1" s="1"/>
  <c r="G201" i="2"/>
  <c r="G32" i="1" s="1"/>
  <c r="H32" i="1" s="1"/>
  <c r="G202" i="2"/>
  <c r="G121" i="1" s="1"/>
  <c r="H121" i="1" s="1"/>
  <c r="G203" i="2"/>
  <c r="G158" i="1" s="1"/>
  <c r="H158" i="1" s="1"/>
  <c r="G204" i="2"/>
  <c r="G214" i="1" s="1"/>
  <c r="H214" i="1" s="1"/>
  <c r="G205" i="2"/>
  <c r="G240" i="1" s="1"/>
  <c r="H240" i="1" s="1"/>
  <c r="G206" i="2"/>
  <c r="G207" i="2"/>
  <c r="G122" i="1" s="1"/>
  <c r="H122" i="1" s="1"/>
  <c r="G208" i="2"/>
  <c r="G123" i="1" s="1"/>
  <c r="H123" i="1" s="1"/>
  <c r="G209" i="2"/>
  <c r="G192" i="1" s="1"/>
  <c r="H192" i="1" s="1"/>
  <c r="G210" i="2"/>
  <c r="G6" i="1" s="1"/>
  <c r="H6" i="1" s="1"/>
  <c r="G211" i="2"/>
  <c r="G161" i="1" s="1"/>
  <c r="H161" i="1" s="1"/>
  <c r="G212" i="2"/>
  <c r="G166" i="1" s="1"/>
  <c r="H166" i="1" s="1"/>
  <c r="G213" i="2"/>
  <c r="G124" i="1" s="1"/>
  <c r="H124" i="1" s="1"/>
  <c r="G214" i="2"/>
  <c r="I214" i="2" s="1"/>
  <c r="G215" i="2"/>
  <c r="I215" i="2" s="1"/>
  <c r="G216" i="2"/>
  <c r="G126" i="1" s="1"/>
  <c r="H126" i="1" s="1"/>
  <c r="G217" i="2"/>
  <c r="G179" i="1" s="1"/>
  <c r="H179" i="1" s="1"/>
  <c r="G218" i="2"/>
  <c r="G127" i="1" s="1"/>
  <c r="H127" i="1" s="1"/>
  <c r="G219" i="2"/>
  <c r="G20" i="1" s="1"/>
  <c r="H20" i="1" s="1"/>
  <c r="G220" i="2"/>
  <c r="G128" i="1" s="1"/>
  <c r="H128" i="1" s="1"/>
  <c r="G221" i="2"/>
  <c r="G204" i="1" s="1"/>
  <c r="H204" i="1" s="1"/>
  <c r="G222" i="2"/>
  <c r="G151" i="1" s="1"/>
  <c r="H151" i="1" s="1"/>
  <c r="G223" i="2"/>
  <c r="G129" i="1" s="1"/>
  <c r="H129" i="1" s="1"/>
  <c r="G224" i="2"/>
  <c r="G16" i="1" s="1"/>
  <c r="H16" i="1" s="1"/>
  <c r="G225" i="2"/>
  <c r="I225" i="2" s="1"/>
  <c r="J225" i="2" s="1"/>
  <c r="G226" i="2"/>
  <c r="G21" i="1" s="1"/>
  <c r="H21" i="1" s="1"/>
  <c r="G227" i="2"/>
  <c r="I227" i="2" s="1"/>
  <c r="G228" i="2"/>
  <c r="G213" i="1" s="1"/>
  <c r="H213" i="1" s="1"/>
  <c r="G229" i="2"/>
  <c r="G202" i="1" s="1"/>
  <c r="H202" i="1" s="1"/>
  <c r="G230" i="2"/>
  <c r="G141" i="1" s="1"/>
  <c r="H141" i="1" s="1"/>
  <c r="G231" i="2"/>
  <c r="I231" i="2" s="1"/>
  <c r="G232" i="2"/>
  <c r="G131" i="1" s="1"/>
  <c r="H131" i="1" s="1"/>
  <c r="G233" i="2"/>
  <c r="G234" i="2"/>
  <c r="G235" i="2"/>
  <c r="I235" i="2" s="1"/>
  <c r="G236" i="2"/>
  <c r="G147" i="1" s="1"/>
  <c r="H147" i="1" s="1"/>
  <c r="G237" i="2"/>
  <c r="G132" i="1" s="1"/>
  <c r="H132" i="1" s="1"/>
  <c r="G238" i="2"/>
  <c r="I238" i="2" s="1"/>
  <c r="G239" i="2"/>
  <c r="G42" i="1" s="1"/>
  <c r="H42" i="1" s="1"/>
  <c r="G240" i="2"/>
  <c r="G134" i="1" s="1"/>
  <c r="H134" i="1" s="1"/>
  <c r="G241" i="2"/>
  <c r="G181" i="1" s="1"/>
  <c r="H181" i="1" s="1"/>
  <c r="G242" i="2"/>
  <c r="G199" i="1" s="1"/>
  <c r="H199" i="1" s="1"/>
  <c r="G243" i="2"/>
  <c r="G135" i="1" s="1"/>
  <c r="H135" i="1" s="1"/>
  <c r="G244" i="2"/>
  <c r="G136" i="1" s="1"/>
  <c r="H136" i="1" s="1"/>
  <c r="G245" i="2"/>
  <c r="I245" i="2" s="1"/>
  <c r="G246" i="2"/>
  <c r="G138" i="1" s="1"/>
  <c r="H138" i="1" s="1"/>
  <c r="G247" i="2"/>
  <c r="G189" i="1" s="1"/>
  <c r="H189" i="1" s="1"/>
  <c r="G248" i="2"/>
  <c r="G211" i="1" s="1"/>
  <c r="H211" i="1" s="1"/>
  <c r="G249" i="2"/>
  <c r="G10" i="1" s="1"/>
  <c r="H10" i="1" s="1"/>
  <c r="G250" i="2"/>
  <c r="I250" i="2" s="1"/>
  <c r="G251" i="2"/>
  <c r="G155" i="1" s="1"/>
  <c r="H155" i="1" s="1"/>
  <c r="G252" i="2"/>
  <c r="G201" i="1" s="1"/>
  <c r="H201" i="1" s="1"/>
  <c r="G14" i="2"/>
  <c r="G232" i="1" s="1"/>
  <c r="H232" i="1" s="1"/>
  <c r="G15" i="2"/>
  <c r="G2" i="2"/>
  <c r="G159" i="1" s="1"/>
  <c r="H159" i="1" s="1"/>
  <c r="G3" i="2"/>
  <c r="G187" i="1" s="1"/>
  <c r="H187" i="1" s="1"/>
  <c r="G4" i="2"/>
  <c r="G185" i="1" s="1"/>
  <c r="H185" i="1" s="1"/>
  <c r="G5" i="2"/>
  <c r="G178" i="1" s="1"/>
  <c r="H178" i="1" s="1"/>
  <c r="G6" i="2"/>
  <c r="G184" i="1" s="1"/>
  <c r="H184" i="1" s="1"/>
  <c r="G7" i="2"/>
  <c r="G31" i="1" s="1"/>
  <c r="H31" i="1" s="1"/>
  <c r="G8" i="2"/>
  <c r="G45" i="1" s="1"/>
  <c r="H45" i="1" s="1"/>
  <c r="G9" i="2"/>
  <c r="G182" i="1" s="1"/>
  <c r="H182" i="1" s="1"/>
  <c r="G10" i="2"/>
  <c r="G3" i="1" s="1"/>
  <c r="H3" i="1" s="1"/>
  <c r="G11" i="2"/>
  <c r="G212" i="1" s="1"/>
  <c r="H212" i="1" s="1"/>
  <c r="G12" i="2"/>
  <c r="G176" i="1" s="1"/>
  <c r="H176" i="1" s="1"/>
  <c r="I243" i="2"/>
  <c r="I187" i="2"/>
  <c r="I185" i="2"/>
  <c r="I161" i="2"/>
  <c r="I154" i="2"/>
  <c r="I118" i="2"/>
  <c r="I89" i="2"/>
  <c r="I76" i="2"/>
  <c r="I49" i="2"/>
  <c r="I36" i="2"/>
  <c r="G13" i="2"/>
  <c r="D255" i="2"/>
  <c r="D257" i="2" s="1"/>
  <c r="C255" i="2"/>
  <c r="C257" i="2" s="1"/>
  <c r="E255" i="2"/>
  <c r="E257" i="2" s="1"/>
  <c r="F255" i="1"/>
  <c r="I17" i="2" l="1"/>
  <c r="I61" i="2"/>
  <c r="I165" i="2"/>
  <c r="I73" i="2"/>
  <c r="I133" i="2"/>
  <c r="I173" i="2"/>
  <c r="J173" i="2" s="1"/>
  <c r="I197" i="2"/>
  <c r="I45" i="2"/>
  <c r="I181" i="2"/>
  <c r="I224" i="2"/>
  <c r="I164" i="2"/>
  <c r="I23" i="2"/>
  <c r="I251" i="2"/>
  <c r="J251" i="2" s="1"/>
  <c r="I67" i="2"/>
  <c r="I115" i="2"/>
  <c r="I207" i="2"/>
  <c r="G130" i="1"/>
  <c r="H130" i="1" s="1"/>
  <c r="G234" i="1"/>
  <c r="H234" i="1" s="1"/>
  <c r="G154" i="1"/>
  <c r="H154" i="1" s="1"/>
  <c r="I20" i="2"/>
  <c r="J20" i="2" s="1"/>
  <c r="I84" i="2"/>
  <c r="I204" i="2"/>
  <c r="I229" i="2"/>
  <c r="I244" i="2"/>
  <c r="G254" i="1"/>
  <c r="H254" i="1" s="1"/>
  <c r="I72" i="2"/>
  <c r="I120" i="2"/>
  <c r="I232" i="2"/>
  <c r="G193" i="1"/>
  <c r="H193" i="1" s="1"/>
  <c r="I24" i="2"/>
  <c r="I108" i="2"/>
  <c r="I128" i="2"/>
  <c r="I180" i="2"/>
  <c r="J180" i="2" s="1"/>
  <c r="I212" i="2"/>
  <c r="I236" i="2"/>
  <c r="G133" i="1"/>
  <c r="H133" i="1" s="1"/>
  <c r="G125" i="1"/>
  <c r="H125" i="1" s="1"/>
  <c r="G93" i="1"/>
  <c r="H93" i="1" s="1"/>
  <c r="I13" i="2"/>
  <c r="J13" i="2" s="1"/>
  <c r="G231" i="1"/>
  <c r="H231" i="1" s="1"/>
  <c r="I15" i="2"/>
  <c r="G4" i="1"/>
  <c r="H4" i="1" s="1"/>
  <c r="I166" i="2"/>
  <c r="G109" i="1"/>
  <c r="H109" i="1" s="1"/>
  <c r="I114" i="2"/>
  <c r="G83" i="1"/>
  <c r="H83" i="1" s="1"/>
  <c r="I98" i="2"/>
  <c r="G220" i="1"/>
  <c r="H220" i="1" s="1"/>
  <c r="I94" i="2"/>
  <c r="G35" i="1"/>
  <c r="H35" i="1" s="1"/>
  <c r="I66" i="2"/>
  <c r="G195" i="1"/>
  <c r="H195" i="1" s="1"/>
  <c r="G18" i="1"/>
  <c r="H18" i="1" s="1"/>
  <c r="I42" i="2"/>
  <c r="G225" i="1"/>
  <c r="H225" i="1" s="1"/>
  <c r="G162" i="1"/>
  <c r="H162" i="1" s="1"/>
  <c r="I170" i="2"/>
  <c r="I198" i="2"/>
  <c r="I218" i="2"/>
  <c r="G87" i="1"/>
  <c r="H87" i="1" s="1"/>
  <c r="I121" i="2"/>
  <c r="G203" i="1"/>
  <c r="H203" i="1" s="1"/>
  <c r="I113" i="2"/>
  <c r="G143" i="1"/>
  <c r="H143" i="1" s="1"/>
  <c r="I77" i="2"/>
  <c r="I69" i="2"/>
  <c r="G13" i="1"/>
  <c r="H13" i="1" s="1"/>
  <c r="G163" i="1"/>
  <c r="H163" i="1" s="1"/>
  <c r="I53" i="2"/>
  <c r="G169" i="1"/>
  <c r="H169" i="1" s="1"/>
  <c r="G137" i="1"/>
  <c r="H137" i="1" s="1"/>
  <c r="G175" i="1"/>
  <c r="H175" i="1" s="1"/>
  <c r="I234" i="2"/>
  <c r="I206" i="2"/>
  <c r="G38" i="1"/>
  <c r="H38" i="1" s="1"/>
  <c r="I186" i="2"/>
  <c r="G116" i="1"/>
  <c r="H116" i="1" s="1"/>
  <c r="I130" i="2"/>
  <c r="G92" i="1"/>
  <c r="H92" i="1" s="1"/>
  <c r="G114" i="1"/>
  <c r="H114" i="1" s="1"/>
  <c r="I54" i="2"/>
  <c r="J54" i="2" s="1"/>
  <c r="I126" i="2"/>
  <c r="G39" i="1"/>
  <c r="H39" i="1" s="1"/>
  <c r="I233" i="2"/>
  <c r="G174" i="1"/>
  <c r="H174" i="1" s="1"/>
  <c r="G118" i="1"/>
  <c r="H118" i="1" s="1"/>
  <c r="G24" i="1"/>
  <c r="H24" i="1" s="1"/>
  <c r="G144" i="1"/>
  <c r="H144" i="1" s="1"/>
  <c r="G112" i="1"/>
  <c r="H112" i="1" s="1"/>
  <c r="I111" i="2"/>
  <c r="G14" i="1"/>
  <c r="H14" i="1" s="1"/>
  <c r="G219" i="1"/>
  <c r="H219" i="1" s="1"/>
  <c r="G207" i="1"/>
  <c r="H207" i="1" s="1"/>
  <c r="G103" i="1"/>
  <c r="H103" i="1" s="1"/>
  <c r="G33" i="1"/>
  <c r="H33" i="1" s="1"/>
  <c r="B255" i="2"/>
  <c r="B257" i="2" s="1"/>
  <c r="F255" i="2"/>
</calcChain>
</file>

<file path=xl/sharedStrings.xml><?xml version="1.0" encoding="utf-8"?>
<sst xmlns="http://schemas.openxmlformats.org/spreadsheetml/2006/main" count="1358" uniqueCount="419">
  <si>
    <t>Cliente</t>
  </si>
  <si>
    <t>NF</t>
  </si>
  <si>
    <t>N° Doc.</t>
  </si>
  <si>
    <t>Valor (R$)</t>
  </si>
  <si>
    <t>ADERLINDA JOSÉ LIAL -DPU</t>
  </si>
  <si>
    <t>Venda 4935 29/05/2026 R$2.316,00  </t>
  </si>
  <si>
    <t>AIRTON JOSE BARBOSA DE ANDRADE</t>
  </si>
  <si>
    <t>Venda 14538 02/05/2026 R$475,00 , CF 14538 </t>
  </si>
  <si>
    <t>Venda 14536 02/05/2026 R$550,00 , CF 14536 </t>
  </si>
  <si>
    <t>Venda 14674 21/05/2026 R$520,00 , CF 14674 </t>
  </si>
  <si>
    <t>Venda 14694 23/05/2026 R$520,00 , CF 14694 </t>
  </si>
  <si>
    <t>ALAIDE MARTINS DE CERQUEIRA</t>
  </si>
  <si>
    <t>Venda 14543 04/05/2026 R$16,88 , CF 14543 </t>
  </si>
  <si>
    <t>Venda 14588 11/05/2026 R$452,72 , CF 14588 </t>
  </si>
  <si>
    <t>Venda 14653 18/05/2026 R$81,08 , CF 14653 </t>
  </si>
  <si>
    <t>Venda 14727 29/05/2026 R$435,84 , CF 14727 </t>
  </si>
  <si>
    <t>ALICIA NUNES LACERDA - DPU</t>
  </si>
  <si>
    <t>Venda 4918 25/05/2026 R$2.242,50  </t>
  </si>
  <si>
    <t>ALTAMIRA LEITE DA SILVA</t>
  </si>
  <si>
    <t>Venda 14553 04/05/2026 R$166,00 , CF 14553 </t>
  </si>
  <si>
    <t>Venda 14580 08/05/2026 R$237,00 , CF 14580 </t>
  </si>
  <si>
    <t>Venda 14618 14/05/2026 R$138,00 , CF 14618 </t>
  </si>
  <si>
    <t>Venda 14652 18/05/2026 R$290,00 , CF 14652 </t>
  </si>
  <si>
    <t>Venda 14713 27/05/2026 R$290,00 , CF 14713 </t>
  </si>
  <si>
    <t>ANA BEATRIZ ALVES DA SILVA</t>
  </si>
  <si>
    <t>Venda 14623 14/05/2026 R$527,00 , CF 14623 </t>
  </si>
  <si>
    <t>ANALIA MARIA DOS SANTOS</t>
  </si>
  <si>
    <t>Venda 14560 06/05/2026 R$214,00 , CF 14560 </t>
  </si>
  <si>
    <t>Venda 14587 11/05/2026 R$554,00 , CF 14587 </t>
  </si>
  <si>
    <t>Venda 14702 26/05/2026 R$135,00 , CF 14702 </t>
  </si>
  <si>
    <t>Venda 14708 27/05/2026 R$552,00 , CF 14708 </t>
  </si>
  <si>
    <t>ANDREY MARTINS DOS SANTOS</t>
  </si>
  <si>
    <t>Venda 14535 02/05/2026 R$223,00 , CF 14535 </t>
  </si>
  <si>
    <t>Venda 14584 11/05/2026 R$517,32 , CF 14584 </t>
  </si>
  <si>
    <t>Venda 14698 25/05/2026 R$331,57 , CF 14698 </t>
  </si>
  <si>
    <t>ANDREZA ALVES MONTEIRO COSTA - DROGARIA FARMAIS LTDA</t>
  </si>
  <si>
    <t>Venda 4907 20/05/2026 R$692,50  </t>
  </si>
  <si>
    <t>ANTENOR OLIVEIRA MATOS</t>
  </si>
  <si>
    <t>Venda 14572 08/05/2026 R$100,00 , CF 14572 </t>
  </si>
  <si>
    <t>ANTÔNIO JOSÉ DA SILVA ROCHA</t>
  </si>
  <si>
    <t>Venda 14557 05/05/2026 R$148,00 , CF 14557 </t>
  </si>
  <si>
    <t>Venda 14612 13/05/2026 R$148,00 , CF 14612 </t>
  </si>
  <si>
    <t>Venda 14649 16/05/2026 R$56,00 , CF 14649 </t>
  </si>
  <si>
    <t>ANTONIO LIMA DE CRISTO</t>
  </si>
  <si>
    <t>Venda 14552 04/05/2026 R$262,74 , CF 14552 </t>
  </si>
  <si>
    <t>ARTUR MIGUEL DE SIQUEIRA BRITO - DPU</t>
  </si>
  <si>
    <t>Venda 4915 22/05/2026 R$1.771,08  </t>
  </si>
  <si>
    <t>ASSOCIACAO OBRAS SOCIAIS IRMA DULCE</t>
  </si>
  <si>
    <t>Venda 4912 22/05/2026 R$2.900,00  </t>
  </si>
  <si>
    <t>Auzira Francisca da Silva Nero</t>
  </si>
  <si>
    <t>Venda 14551 04/05/2026 R$105,00 , CF 14551 </t>
  </si>
  <si>
    <t>Venda 14577 08/05/2026 R$130,00 , CF 14577 </t>
  </si>
  <si>
    <t>Venda 14605 12/05/2026 R$125,00 , CF 14605 </t>
  </si>
  <si>
    <t>Venda 14647 16/05/2026 R$100,00 , CF 14647 </t>
  </si>
  <si>
    <t>Venda 14666 19/05/2026 R$105,00 , CF 14666 </t>
  </si>
  <si>
    <t>Venda 14690 23/05/2026 R$100,00 , CF 14690 </t>
  </si>
  <si>
    <t>Venda 14715 27/05/2026 R$104,00 , CF 14715 </t>
  </si>
  <si>
    <t>BARBARA SAYONARA SILVA COSTA</t>
  </si>
  <si>
    <t>Venda 14609 13/05/2026 R$120,00 , CF 14609 </t>
  </si>
  <si>
    <t>BIGMED DISTRIBUIDORA DE PRODUTOS HOSPITALARES LTDA</t>
  </si>
  <si>
    <t>Venda 4934 29/05/2026 R$2.298,72  </t>
  </si>
  <si>
    <t>Venda 4933 28/05/2026 R$221,80  </t>
  </si>
  <si>
    <t>BRUNO RAFAEL SANTOS SILVA - DPU</t>
  </si>
  <si>
    <t>Venda 4903 19/05/2026 R$1.484,59  </t>
  </si>
  <si>
    <t>BRUNO SIQUEIRA RIOS</t>
  </si>
  <si>
    <t>Venda 14636 15/05/2026 R$485,84 , CF 14636 </t>
  </si>
  <si>
    <t>CICERO JORGE DA CRUZ CARNEIRO - DPU</t>
  </si>
  <si>
    <t>Venda 4914 22/05/2026 R$1.670,37  </t>
  </si>
  <si>
    <t>CLEITON PEREIRA DE SOUZA</t>
  </si>
  <si>
    <t>Venda 14632 15/05/2026 R$70,00 , CF 14632 </t>
  </si>
  <si>
    <t>CONSUMIDOR FINAL</t>
  </si>
  <si>
    <t>Venda 14540 02/05/2026 R$347,00 , CF 14540 </t>
  </si>
  <si>
    <t>Venda 14537 02/05/2026 R$80,00 , CF 14537 </t>
  </si>
  <si>
    <t>Venda 14542 02/05/2026 R$140,00 , CF 14542 </t>
  </si>
  <si>
    <t>Venda 14545 04/05/2026 R$40,00 , CF 14545 </t>
  </si>
  <si>
    <t>Venda 14546 04/05/2026 R$160,00 , CF 14546 </t>
  </si>
  <si>
    <t>Venda 14547 04/05/2026 R$139,50 , CF 14547 </t>
  </si>
  <si>
    <t>Venda 14550 04/05/2026 R$112,00 , CF 14550 </t>
  </si>
  <si>
    <t>Venda 14555 05/05/2026 R$114,00 , CF 14555 </t>
  </si>
  <si>
    <t>Venda 14556 05/05/2026 R$371,00 , CF 14556 </t>
  </si>
  <si>
    <t>Venda 14558 06/05/2026 R$28,50 , CF 14558 </t>
  </si>
  <si>
    <t>Venda 14562 06/05/2026 R$28,00 , CF 14562 </t>
  </si>
  <si>
    <t>Venda 14563 07/05/2026 R$295,83 , CF 14563 </t>
  </si>
  <si>
    <t>Venda 14565 07/05/2026 R$20,00 , CF 14565 </t>
  </si>
  <si>
    <t>Venda 14568 08/05/2026 R$270,00 , CF 14568 </t>
  </si>
  <si>
    <t>Venda 14574 08/05/2026 R$127,75 , CF 14574 </t>
  </si>
  <si>
    <t>Venda 14578 08/05/2026 R$240,00 , CF 14578 </t>
  </si>
  <si>
    <t>Venda 14579 08/05/2026 R$182,00 , CF 14579 </t>
  </si>
  <si>
    <t>Venda 14581 09/05/2026 R$189,00 , CF 14581 </t>
  </si>
  <si>
    <t>Venda 14582 09/05/2026 R$198,50 , CF 14582 </t>
  </si>
  <si>
    <t>Venda 14591 11/05/2026 R$613,00 , CF 14591 </t>
  </si>
  <si>
    <t>Venda 14589 11/05/2026 R$273,00 , CF 14589 </t>
  </si>
  <si>
    <t>Venda 14593 11/05/2026 R$203,00 , CF 14593 </t>
  </si>
  <si>
    <t>Venda 14594 11/05/2026 R$143,60 , CF 14594 </t>
  </si>
  <si>
    <t>Venda 14596 12/05/2026 R$85,22 , CF 14596 </t>
  </si>
  <si>
    <t>Venda 14597 12/05/2026 R$90,00 , CF 14597 </t>
  </si>
  <si>
    <t>Venda 14599 12/05/2026 R$91,00 , CF 14599 </t>
  </si>
  <si>
    <t>Venda 14601 12/05/2026 R$102,06 , CF 14601 </t>
  </si>
  <si>
    <t>Venda 14602 12/05/2026 R$120,00 , CF 14602 </t>
  </si>
  <si>
    <t>Venda 14603 12/05/2026 R$280,00 , CF 14603 </t>
  </si>
  <si>
    <t>Venda 14606 13/05/2026 R$144,22 , CF 14606 </t>
  </si>
  <si>
    <t>Venda 14607 13/05/2026 R$73,00 , CF 14607 </t>
  </si>
  <si>
    <t>Venda 14608 13/05/2026 R$135,00 , CF 14608 </t>
  </si>
  <si>
    <t>Venda 14610 13/05/2026 R$10,00 , CF 14610 </t>
  </si>
  <si>
    <t>Venda 14611 13/05/2026 R$104,50 , CF 14611 </t>
  </si>
  <si>
    <t>Venda 14613 14/05/2026 R$123,00 , CF 14613 </t>
  </si>
  <si>
    <t>Venda 14614 14/05/2026 R$182,00 , CF 14614 </t>
  </si>
  <si>
    <t>Venda 14616 14/05/2026 R$345,00 , CF 14616 </t>
  </si>
  <si>
    <t>Venda 14620 14/05/2026 R$180,00 , CF 14620 </t>
  </si>
  <si>
    <t>Venda 14621 14/05/2026 R$136,50 , CF 14621 </t>
  </si>
  <si>
    <t>Venda 14622 14/05/2026 R$53,50 , CF 14622 </t>
  </si>
  <si>
    <t>Venda 14625 14/05/2026 R$188,50 , CF 14625 </t>
  </si>
  <si>
    <t>Venda 14626 15/05/2026 R$182,00 , CF 14626 </t>
  </si>
  <si>
    <t>Venda 14634 15/05/2026 R$387,96 , CF 14634 </t>
  </si>
  <si>
    <t>Venda 14628 15/05/2026 R$108,70 , CF 14628 </t>
  </si>
  <si>
    <t>Venda 14630 15/05/2026 R$974,00 , CF 14630 </t>
  </si>
  <si>
    <t>Venda 14631 15/05/2026 R$275,00 , CF 14631 </t>
  </si>
  <si>
    <t>Venda 14638 15/05/2026 R$272,00 , CF 14638 </t>
  </si>
  <si>
    <t>Venda 14639 15/05/2026 R$140,00 , CF 14639 </t>
  </si>
  <si>
    <t>Venda 14640 15/05/2026 R$207,00 , CF 14640 </t>
  </si>
  <si>
    <t>Venda 14641 15/05/2026 R$28,50 , CF 14641 </t>
  </si>
  <si>
    <t>Venda 14642 15/05/2026 R$95,78 , CF 14642 </t>
  </si>
  <si>
    <t>Venda 14643 15/05/2026 R$378,00 , CF 14643 </t>
  </si>
  <si>
    <t>Venda 14644 15/05/2026 R$630,00 , CF 14644 </t>
  </si>
  <si>
    <t>Venda 14646 16/05/2026 R$191,56 , CF 14646 </t>
  </si>
  <si>
    <t>Venda 14648 16/05/2026 R$202,00 , CF 14648 </t>
  </si>
  <si>
    <t>Venda 14650 16/05/2026 R$135,00 , CF 14650 </t>
  </si>
  <si>
    <t>Venda 14656 18/05/2026 R$346,00 , CF 14656 </t>
  </si>
  <si>
    <t>Venda 14654 18/05/2026 R$136,50 , CF 14654 </t>
  </si>
  <si>
    <t>Venda 14655 18/05/2026 R$141,18 , CF 14655 </t>
  </si>
  <si>
    <t>Venda 14657 18/05/2026 R$110,00 , CF 14657 </t>
  </si>
  <si>
    <t>Venda 14658 18/05/2026 R$227,50 , CF 14658 </t>
  </si>
  <si>
    <t>Venda 14659 18/05/2026 R$107,00 , CF 14659 </t>
  </si>
  <si>
    <t>Venda 14662 19/05/2026 R$728,00 , CF 14662 </t>
  </si>
  <si>
    <t>Venda 14663 19/05/2026 R$328,40 , CF 14663 </t>
  </si>
  <si>
    <t>Venda 14664 19/05/2026 R$182,00 , CF 14664 </t>
  </si>
  <si>
    <t>Venda 14668 19/05/2026 R$222,00 , CF 14668 </t>
  </si>
  <si>
    <t>Venda 14669 19/05/2026 R$108,70 , CF 14669 </t>
  </si>
  <si>
    <t>Venda 14672 20/05/2026 R$575,52 , CF 14672 </t>
  </si>
  <si>
    <t>Venda 14671 20/05/2026 R$82,10 , CF 14671 </t>
  </si>
  <si>
    <t>Venda 14681 21/05/2026 R$100,00 , CF 14681 </t>
  </si>
  <si>
    <t>Venda 14677 21/05/2026 R$222,00 , CF 14677 </t>
  </si>
  <si>
    <t>Venda 14680 21/05/2026 R$606,68 , CF 14680 </t>
  </si>
  <si>
    <t>Venda 14682 21/05/2026 R$20,00 , CF 14682 </t>
  </si>
  <si>
    <t>Venda 14686 22/05/2026 R$106,00 , CF 14686 </t>
  </si>
  <si>
    <t>Venda 14688 22/05/2026 R$50,00 , CF 14688 </t>
  </si>
  <si>
    <t>Venda 14691 23/05/2026 R$115,00 , CF 14691 </t>
  </si>
  <si>
    <t>Venda 14692 23/05/2026 R$378,96 , CF 14692 </t>
  </si>
  <si>
    <t>Venda 14697 25/05/2026 R$100,00 , CF 14697 </t>
  </si>
  <si>
    <t>Venda 14700 25/05/2026 R$389,96 , CF 14700 </t>
  </si>
  <si>
    <t>Venda 14699 25/05/2026 R$574,68 , CF 14699 </t>
  </si>
  <si>
    <t>Venda 14705 26/05/2026 R$171,60 , CF 14705 </t>
  </si>
  <si>
    <t>Venda 14703 26/05/2026 R$132,00 , CF 14703 </t>
  </si>
  <si>
    <t>Venda 14707 27/05/2026 R$76,00 , CF 14707 </t>
  </si>
  <si>
    <t>Venda 14711 27/05/2026 R$188,00 , CF 14711 </t>
  </si>
  <si>
    <t>Venda 14714 27/05/2026 R$34,50 , CF 14714 </t>
  </si>
  <si>
    <t>Venda 14719 28/05/2026 R$53,00 , CF 14719 </t>
  </si>
  <si>
    <t>Venda 14720 28/05/2026 R$225,00 , CF 14720 </t>
  </si>
  <si>
    <t>Venda 14729 29/05/2026 R$273,00 , CF 14729 </t>
  </si>
  <si>
    <t>Venda 14725 29/05/2026 R$52,00 , CF 14725 </t>
  </si>
  <si>
    <t>Venda 14721 29/05/2026 R$183,00 , CF 14721 </t>
  </si>
  <si>
    <t>Venda 14723 29/05/2026 R$56,00 , CF 14723 </t>
  </si>
  <si>
    <t>Venda 14726 29/05/2026 R$95,00 , CF 14726 </t>
  </si>
  <si>
    <t>Djanira da Silva Oliveira</t>
  </si>
  <si>
    <t>Venda 14615 14/05/2026 R$327,92 , CF 14615 </t>
  </si>
  <si>
    <t>Venda 14683 22/05/2026 R$435,84 , CF 14683 </t>
  </si>
  <si>
    <t>Venda 14709 27/05/2026 R$104,50 , CF 14709 </t>
  </si>
  <si>
    <t>ELIONILTON SILVA LIBORIO</t>
  </si>
  <si>
    <t>Venda 14561 06/05/2026 R$492,00 , CF 14561 </t>
  </si>
  <si>
    <t>Venda 14585 11/05/2026 R$558,00 , CF 14585 </t>
  </si>
  <si>
    <t>Venda 14685 22/05/2026 R$559,00 , CF 14685 </t>
  </si>
  <si>
    <t>ESTRELA ALIMENTOS DO VALE LTDA</t>
  </si>
  <si>
    <t>Venda 4887 14/05/2026 R$23.425,50  </t>
  </si>
  <si>
    <t>Ezequiel Cardoso Leal</t>
  </si>
  <si>
    <t>Venda 14619 14/05/2026 R$370,00 , CF 14619 </t>
  </si>
  <si>
    <t>Venda 14718 28/05/2026 R$390,00 , CF 14718 </t>
  </si>
  <si>
    <t>FERNANDO GUILHERME DA CONCEICAO LIMA ANDRADE - DPU</t>
  </si>
  <si>
    <t>Venda 4900 19/05/2026 R$1.760,00  </t>
  </si>
  <si>
    <t>FLAVIA ALVES DE SOUSA</t>
  </si>
  <si>
    <t>Venda 4875 04/05/2026 R$2.049,00  </t>
  </si>
  <si>
    <t>Venda 4894 15/05/2026 R$3.630,86  </t>
  </si>
  <si>
    <t>Venda 4930 27/05/2026 R$1.260,96  </t>
  </si>
  <si>
    <t>FRANCISCO BONIFACIO DE AMORIM - DPU</t>
  </si>
  <si>
    <t>Venda 4901 19/05/2026 R$2.651,15  </t>
  </si>
  <si>
    <t>FRANCISCO FERREIRA CALADO</t>
  </si>
  <si>
    <t>Venda 14541 02/05/2026 R$361,00 , CF 14541 </t>
  </si>
  <si>
    <t>Venda 14661 18/05/2026 R$361,00 , CF 14661 </t>
  </si>
  <si>
    <t>Venda 14733 30/05/2026 R$361,00 , CF 14733 </t>
  </si>
  <si>
    <t>FRANCISCO FERREIRA DE LIMA</t>
  </si>
  <si>
    <t>Venda 14598 12/05/2026 R$412,96 , CF 14598 </t>
  </si>
  <si>
    <t>FUNDO MUNICIPAL DE SAUDE MIRANDIBA</t>
  </si>
  <si>
    <t>Venda 4897 18/05/2026 R$2.768,46  </t>
  </si>
  <si>
    <t>FUNDO MUNICIPAL DE SAUDE SANTA CRUZ</t>
  </si>
  <si>
    <t>Venda 4913 22/05/2026 R$1.187,40  </t>
  </si>
  <si>
    <t>GABRIEL CORREIA DA SILVA</t>
  </si>
  <si>
    <t>Venda 4937 29/05/2026 R$5.495,40  </t>
  </si>
  <si>
    <t>GERALDINA DE SOUZA ALVES SILVA</t>
  </si>
  <si>
    <t>Venda 4910 22/05/2026 R$150,00  </t>
  </si>
  <si>
    <t>GILVAN ROMUALDO DE SOUSA</t>
  </si>
  <si>
    <t>Venda 14695 25/05/2026 R$336,00 , CF 14695 </t>
  </si>
  <si>
    <t>Gonçalves da Silva Araújo</t>
  </si>
  <si>
    <t>Venda 14539 02/05/2026 R$180,00 , CF 14539 </t>
  </si>
  <si>
    <t>Venda 14567 07/05/2026 R$134,00 , CF 14567 </t>
  </si>
  <si>
    <t>Venda 14595 11/05/2026 R$192,00 , CF 14595 </t>
  </si>
  <si>
    <t>Venda 14670 19/05/2026 R$182,00 , CF 14670 </t>
  </si>
  <si>
    <t>Venda 14701 25/05/2026 R$180,00 , CF 14701 </t>
  </si>
  <si>
    <t>GUSTAVO PAULINO CRUZ</t>
  </si>
  <si>
    <t>Venda 14549 04/05/2026 R$40,00 , CF 14549 </t>
  </si>
  <si>
    <t>HOSPITALARE MATERIAL MEDICO HOSPITALAR ME LTDA</t>
  </si>
  <si>
    <t>Venda 4904 19/05/2026 R$280,00  </t>
  </si>
  <si>
    <t>INSTITUTO VIVER - ROBERTO BASTOS DE ALENCAR</t>
  </si>
  <si>
    <t>Venda 4931 27/05/2026 R$109,00  </t>
  </si>
  <si>
    <t>JACKSON GUILHERME CARVALHO DE SA FERNANDES - DPU</t>
  </si>
  <si>
    <t>Venda 4928 26/05/2026 R$1.540,00  </t>
  </si>
  <si>
    <t>JESSY ROQUE DA SILVA</t>
  </si>
  <si>
    <t>Venda 14651 16/05/2026 R$20,00 , CF 14651 </t>
  </si>
  <si>
    <t>Venda 14660 18/05/2026 R$120,00 , CF 14660 </t>
  </si>
  <si>
    <t>JOSE BRUNO DE SOUZA MENEZES - DPU</t>
  </si>
  <si>
    <t>Venda 4927 26/05/2026 R$2.114,31  </t>
  </si>
  <si>
    <t>JOSE FERNANDES DE SOUZA</t>
  </si>
  <si>
    <t>Venda 14592 11/05/2026 R$692,50 , CF 14592 </t>
  </si>
  <si>
    <t>Venda 14716 28/05/2026 R$693,00 , CF 14716 </t>
  </si>
  <si>
    <t>JOSÉ MARIA NETO</t>
  </si>
  <si>
    <t>Venda 4883 08/05/2026 R$2.893,60  </t>
  </si>
  <si>
    <t>JUCELIA SANTOS</t>
  </si>
  <si>
    <t>Venda 14667 19/05/2026 R$622,44 , CF 14667 </t>
  </si>
  <si>
    <t>JULIANO GABRIEL SIQUEIRA SANT 'ANNA</t>
  </si>
  <si>
    <t>Venda 14732 30/05/2026 R$210,00 , CF 14732 </t>
  </si>
  <si>
    <t>Venda 14704 26/05/2026 R$8,44 , CF 14704 </t>
  </si>
  <si>
    <t>JUSCELIA GOMES ZAVIER</t>
  </si>
  <si>
    <t>Venda 14566 07/05/2026 R$602,44 , CF 14566 </t>
  </si>
  <si>
    <t>Venda 14722 29/05/2026 R$661,32 , CF 14722 </t>
  </si>
  <si>
    <t>LADYGERLON BARBOSA DA SILVA - DPU</t>
  </si>
  <si>
    <t>Venda 4926 26/05/2026 R$2.017,71  </t>
  </si>
  <si>
    <t>LETICIA KAZUE</t>
  </si>
  <si>
    <t>Venda 14673 20/05/2026 R$1.176,00 , CF 14673 </t>
  </si>
  <si>
    <t>LUAN GEOVANI FERREIRA DE BRITO - DPU</t>
  </si>
  <si>
    <t>Venda 4908 20/05/2026 R$2.175,38  </t>
  </si>
  <si>
    <t>LUCCA HENRY PEREIRA MARTINS - DPU</t>
  </si>
  <si>
    <t>Venda 4892 15/05/2026 R$780,00  </t>
  </si>
  <si>
    <t>Venda 4919 25/05/2026 R$780,00  </t>
  </si>
  <si>
    <t>LUCIA MARIA GOMES DO NASCIMENTO CARDOSO</t>
  </si>
  <si>
    <t>LUCIANA ALCANTARA DO NASCIMENTO (DPE)</t>
  </si>
  <si>
    <t>Venda 14635 15/05/2026 R$345,00 , CF 14635 </t>
  </si>
  <si>
    <t>Venda 14724 29/05/2026 R$138,00 , CF 14724 </t>
  </si>
  <si>
    <t>MARCELINA MARIA RIBEIRO</t>
  </si>
  <si>
    <t>Venda 14548 04/05/2026 R$112,00 , CF 14548 </t>
  </si>
  <si>
    <t>Venda 14586 11/05/2026 R$108,00 , CF 14586 </t>
  </si>
  <si>
    <t>MARCONDES RUBEM NUNES MARINHO</t>
  </si>
  <si>
    <t>Venda 14693 23/05/2026 R$182,00 , CF 14693 </t>
  </si>
  <si>
    <t>Venda 14712 27/05/2026 R$572,00 , CF 14712 </t>
  </si>
  <si>
    <t>MARIA CECILIA DE SOUZA COELHO - DPU</t>
  </si>
  <si>
    <t>Venda 4906 20/05/2026 R$1.490,00  </t>
  </si>
  <si>
    <t>MARIA DA CONCEICAO PEREIRA DO NASCIMENTO</t>
  </si>
  <si>
    <t>Venda 14576 08/05/2026 R$586,68 , CF 14576 </t>
  </si>
  <si>
    <t>MARIA DALVA LOPES DE FARIAS</t>
  </si>
  <si>
    <t>Venda 14559 06/05/2026 R$120,00 , CF 14559 </t>
  </si>
  <si>
    <t>MARIA DELZA CAVALCANTE DE SOUZA</t>
  </si>
  <si>
    <t>Venda 14637 15/05/2026 R$160,00 , CF 14637 </t>
  </si>
  <si>
    <t>Venda 14676 21/05/2026 R$120,00 , CF 14676 </t>
  </si>
  <si>
    <t>Venda 14731 30/05/2026 R$210,00 , CF 14731 </t>
  </si>
  <si>
    <t>MARIA DO NASCIMENTO GONÇALVES DA SILVA</t>
  </si>
  <si>
    <t>Venda 14645 16/05/2026 R$541,34 , CF 14645 </t>
  </si>
  <si>
    <t>Venda 14734 30/05/2026 R$435,84 , CF 14734 </t>
  </si>
  <si>
    <t>MARIA ERANDY ANDRADE DE FREITAS FONSECA</t>
  </si>
  <si>
    <t>Venda 14710 27/05/2026 R$128,00 , CF 14710 </t>
  </si>
  <si>
    <t>MARIA JOSE LEITE</t>
  </si>
  <si>
    <t>Venda 14617 14/05/2026 R$749,50 , CF 14617 </t>
  </si>
  <si>
    <t>MARIA MIRELI RODRIGUES LEANDRO</t>
  </si>
  <si>
    <t>Venda 14706 26/05/2026 R$9,90 , CF 14706 </t>
  </si>
  <si>
    <t>MARIA RODRIGUES ALVES</t>
  </si>
  <si>
    <t>Venda 14629 15/05/2026 R$634,00 , CF 14629 </t>
  </si>
  <si>
    <t>Maria zuleide Olíveira</t>
  </si>
  <si>
    <t>Venda 14675 21/05/2026 R$330,50 , CF 14675 </t>
  </si>
  <si>
    <t>Venda 14717 28/05/2026 R$350,50 , CF 14717 </t>
  </si>
  <si>
    <t>MATHEUS REGIS SENA GOMES</t>
  </si>
  <si>
    <r>
      <t>Pedido devolvido parcialmente em 29/05/2026 (Nº Devolução </t>
    </r>
    <r>
      <rPr>
        <b/>
        <u/>
        <sz val="9"/>
        <color rgb="FF8A6D3B"/>
        <rFont val="Arial"/>
        <family val="2"/>
      </rPr>
      <t>213</t>
    </r>
    <r>
      <rPr>
        <sz val="9"/>
        <color rgb="FF856404"/>
        <rFont val="Arial"/>
        <family val="2"/>
      </rPr>
      <t>) por VIRNA GOMES DO NASCIMENTO CARDOSO com NF Nº </t>
    </r>
    <r>
      <rPr>
        <b/>
        <u/>
        <sz val="9"/>
        <color rgb="FF8A6D3B"/>
        <rFont val="Arial"/>
        <family val="2"/>
      </rPr>
      <t>4938</t>
    </r>
    <r>
      <rPr>
        <sz val="9"/>
        <color rgb="FF856404"/>
        <rFont val="Arial"/>
        <family val="2"/>
      </rPr>
      <t>.</t>
    </r>
  </si>
  <si>
    <t>Recibo de Crédito Nº 0031796. Valor: R$ 1.637,14. Usado R$ 1.637,14 em 29/05/2026 por NÃO INFORMADO</t>
  </si>
  <si>
    <t>Venda 14571 08/05/2026 R$2.622,00 , CF 14571 </t>
  </si>
  <si>
    <t>Venda 14728 29/05/2026 R$1.637,14 , CF 14728 </t>
  </si>
  <si>
    <t>MIGUEL AUGUSTO RODRIGUES DE OLIVEIRA - DPU</t>
  </si>
  <si>
    <t>Venda 4877 04/05/2026 R$500,00  </t>
  </si>
  <si>
    <t>M M DE SOUSA PRODUTOS HOSPITALARES LTDA</t>
  </si>
  <si>
    <t>Venda 4932 27/05/2026 R$1.800,00  </t>
  </si>
  <si>
    <t>MOISES BENTO DA COSTA</t>
  </si>
  <si>
    <t>Venda 14696 25/05/2026 R$648,65 , CF 14696 </t>
  </si>
  <si>
    <t>NEUZA LUIZA DE SOUZA</t>
  </si>
  <si>
    <t>Venda 14544 04/05/2026 R$336,00 , CF 14544 </t>
  </si>
  <si>
    <t>Venda 14678 21/05/2026 R$352,00 , CF 14678 </t>
  </si>
  <si>
    <t>NILTON DOS SANTOS ROCHA</t>
  </si>
  <si>
    <t>Venda 14679 21/05/2026 R$227,50 , CF 14679 </t>
  </si>
  <si>
    <t>ONEMED MEDICAMENTOS E PRODUTOS HOSPITALARES LTDA</t>
  </si>
  <si>
    <t>Venda 4891 15/05/2026 R$546,00  </t>
  </si>
  <si>
    <t>PAULO HENRIQUE BELMIRO</t>
  </si>
  <si>
    <t>Venda 14590 11/05/2026 R$247,00 , CF 14590 </t>
  </si>
  <si>
    <t>PAULO HENRIQUE MOREIRA CAVALCANTE</t>
  </si>
  <si>
    <t>Venda 14604 12/05/2026 R$444,84 , CF 14604 </t>
  </si>
  <si>
    <t>Venda 4911 22/05/2026 R$445,84  </t>
  </si>
  <si>
    <t>PEDRO HENRIQUE GOMES DOS SANTOS- DPE</t>
  </si>
  <si>
    <t>Venda 14570 08/05/2026 R$30,00 , CF 14570 </t>
  </si>
  <si>
    <t>PETROMED PRESTACAO DE SERVICOS EM SAUDE EIRELI</t>
  </si>
  <si>
    <t>Venda 4884 08/05/2026 R$716,00  </t>
  </si>
  <si>
    <t>Raimunda Rodrigues da Purificação</t>
  </si>
  <si>
    <t>Venda 14564 07/05/2026 R$480,00 , CF 14564 </t>
  </si>
  <si>
    <t>RAIMUNDA RODRIGUES DA PURIFICAÇÃO</t>
  </si>
  <si>
    <t>Venda 14730 30/05/2026 R$553,00 , CF 14730 </t>
  </si>
  <si>
    <t>RAQUEL FELIX DE SOUZA</t>
  </si>
  <si>
    <t>Venda 14583 09/05/2026 R$584,00 , CF 14583 </t>
  </si>
  <si>
    <t>Venda 14687 22/05/2026 R$584,00 , CF 14687 </t>
  </si>
  <si>
    <t>RAVY LUCAS LIMA DOS SANTOS - DPU</t>
  </si>
  <si>
    <t>Venda 4902 19/05/2026 R$350,40  </t>
  </si>
  <si>
    <t>ROMUALDO TOMAZ DE SOUSA</t>
  </si>
  <si>
    <t>Venda 14573 08/05/2026 R$105,00 , CF 14573 </t>
  </si>
  <si>
    <t>ROSALIA DE SOUSA</t>
  </si>
  <si>
    <t>Venda 14600 12/05/2026 R$360,00 , CF 14600 </t>
  </si>
  <si>
    <t>SPECIAL PHARMUS COMERCIO DE MEDICAMENTOS LTDA</t>
  </si>
  <si>
    <t>Venda 4879 06/05/2026 R$1.223,57  </t>
  </si>
  <si>
    <t>Venda 4880 06/05/2026 R$1.020,82  </t>
  </si>
  <si>
    <t>Venda 4881 06/05/2026 R$806,92  </t>
  </si>
  <si>
    <t>Venda 4882 07/05/2026 R$343,00  </t>
  </si>
  <si>
    <t>Venda 4905 20/05/2026 R$449,95  </t>
  </si>
  <si>
    <t>Venda 4899 19/05/2026 R$515,78  </t>
  </si>
  <si>
    <t>Venda 4916 25/05/2026 R$447,58  </t>
  </si>
  <si>
    <t>SUELY BORGES BARBOSA</t>
  </si>
  <si>
    <t>Venda 14627 15/05/2026 R$120,00 , CF 14627 </t>
  </si>
  <si>
    <t>Venda 14665 19/05/2026 R$120,00 , CF 14665 </t>
  </si>
  <si>
    <t>Venda 14689 23/05/2026 R$180,00 , CF 14689 </t>
  </si>
  <si>
    <t>TEREZINHA BALBINA DE SOUZA</t>
  </si>
  <si>
    <t>Venda 14633 15/05/2026 R$150,00 , CF 14633 </t>
  </si>
  <si>
    <t>TEREZINHA XAVIER GONÇALVES</t>
  </si>
  <si>
    <t>Venda 14575 08/05/2026 R$1.509,90 , CF 14575 </t>
  </si>
  <si>
    <t>UNIMED VALE DO S. FCO. COOP. DE TRABALHO MEDICO</t>
  </si>
  <si>
    <t>Venda 4878 05/05/2026 R$975,00  </t>
  </si>
  <si>
    <t>Venda 4895 15/05/2026 R$625,00  </t>
  </si>
  <si>
    <t>Venda 4917 25/05/2026 R$2.937,85  </t>
  </si>
  <si>
    <t>Venda 4909 21/05/2026 R$277,00  </t>
  </si>
  <si>
    <t>UNIMED VALE DO S.FRANCISCO COOP. DE TRABALHO MEDICO</t>
  </si>
  <si>
    <t>Venda 4885 11/05/2026 R$2.770,00  </t>
  </si>
  <si>
    <t>Venda 4886 12/05/2026 R$1.030,80  </t>
  </si>
  <si>
    <t>Venda 4896 18/05/2026 R$1.178,92  </t>
  </si>
  <si>
    <t>UZIMED DISTRIBUIDORA HOSPITALAR LTDA</t>
  </si>
  <si>
    <t>Venda 4890 15/05/2026 R$9.582,01  </t>
  </si>
  <si>
    <t>Venda 4893 15/05/2026 R$19.705,63  </t>
  </si>
  <si>
    <t>Venda 4929 26/05/2026 R$13.356,90  </t>
  </si>
  <si>
    <t>VITORIA WILLYANE DE SOUZA SANTOS</t>
  </si>
  <si>
    <t>Venda 14554 05/05/2026 R$349,00 , CF 14554 </t>
  </si>
  <si>
    <t>Venda 14684 22/05/2026 R$349,00 , CF 14684 </t>
  </si>
  <si>
    <t>Nr. Pedido</t>
  </si>
  <si>
    <t>Valor Bruto</t>
  </si>
  <si>
    <t>Descontos</t>
  </si>
  <si>
    <t>Valor Líquido</t>
  </si>
  <si>
    <t>Valor Líquido com ICMS Subst.</t>
  </si>
  <si>
    <t>Valor Frete</t>
  </si>
  <si>
    <t>TOTAL DEVOLVIDO</t>
  </si>
  <si>
    <t>TOTAL (Vendidos - Devolvidos)</t>
  </si>
  <si>
    <t>-</t>
  </si>
  <si>
    <t>Nr. Nota</t>
  </si>
  <si>
    <t>TOTAL GERAL</t>
  </si>
  <si>
    <t>Vendedor</t>
  </si>
  <si>
    <t>Pedidos</t>
  </si>
  <si>
    <t>Total Venda</t>
  </si>
  <si>
    <t>Comissão</t>
  </si>
  <si>
    <t>AMANDA SUED TEXEIRA AMORIM</t>
  </si>
  <si>
    <t>CPF: 100.519.444-05</t>
  </si>
  <si>
    <t>Total: R$ 9.945,34</t>
  </si>
  <si>
    <t>Total: R$ 0,00</t>
  </si>
  <si>
    <t>GILZETE VIANA MOURA</t>
  </si>
  <si>
    <t>CPF: 211.847.984-00</t>
  </si>
  <si>
    <t>Total: R$ 32.542,49</t>
  </si>
  <si>
    <t>JOSE AMERICO DE SOUSA MOURA JUNIOR</t>
  </si>
  <si>
    <t>CPF: 113.591.874-05</t>
  </si>
  <si>
    <t>Total: R$ 1.707,40</t>
  </si>
  <si>
    <t>LUIS OTAVIO GOMES DO NASCIMENTO CARDOSO MOURA</t>
  </si>
  <si>
    <t>CPF: 113.592.024-98</t>
  </si>
  <si>
    <t>Total: R$ 3.507,31</t>
  </si>
  <si>
    <t>CPF: 492.156.408-60</t>
  </si>
  <si>
    <t>Total: R$ 39.295,82</t>
  </si>
  <si>
    <t>VIRNA GOMES DO NASCIMENTO CARDOSO CHAVES</t>
  </si>
  <si>
    <t>CPF: 042.954.994-63</t>
  </si>
  <si>
    <t>Total: R$ 102.455,17</t>
  </si>
  <si>
    <t>TOTAL VENDAS</t>
  </si>
  <si>
    <t>TOTAL DEVOLUÇÕES</t>
  </si>
  <si>
    <t>TOTAL</t>
  </si>
  <si>
    <r>
      <t>Vendas sem Nota:</t>
    </r>
    <r>
      <rPr>
        <sz val="11"/>
        <color rgb="FF000000"/>
        <rFont val="Calibri"/>
        <family val="2"/>
        <scheme val="minor"/>
      </rPr>
      <t> R$ 0,00</t>
    </r>
  </si>
  <si>
    <r>
      <t>Comissão:</t>
    </r>
    <r>
      <rPr>
        <sz val="11"/>
        <color rgb="FF000000"/>
        <rFont val="Calibri"/>
        <family val="2"/>
        <scheme val="minor"/>
      </rPr>
      <t> R$ 0,00</t>
    </r>
  </si>
  <si>
    <r>
      <t>Vendas com Nota:</t>
    </r>
    <r>
      <rPr>
        <sz val="11"/>
        <color rgb="FF000000"/>
        <rFont val="Calibri"/>
        <family val="2"/>
        <scheme val="minor"/>
      </rPr>
      <t> R$ 9.945,34</t>
    </r>
  </si>
  <si>
    <r>
      <t>Devoluções:</t>
    </r>
    <r>
      <rPr>
        <sz val="11"/>
        <color rgb="FFFF0000"/>
        <rFont val="Calibri"/>
        <family val="2"/>
        <scheme val="minor"/>
      </rPr>
      <t> R$ 0,00</t>
    </r>
  </si>
  <si>
    <r>
      <t>Total Vendas:</t>
    </r>
    <r>
      <rPr>
        <sz val="11"/>
        <color rgb="FF000000"/>
        <rFont val="Calibri"/>
        <family val="2"/>
        <scheme val="minor"/>
      </rPr>
      <t> R$ 9.945,34</t>
    </r>
  </si>
  <si>
    <r>
      <t>Vendas com Nota:</t>
    </r>
    <r>
      <rPr>
        <sz val="11"/>
        <color rgb="FF000000"/>
        <rFont val="Calibri"/>
        <family val="2"/>
        <scheme val="minor"/>
      </rPr>
      <t> R$ 32.542,49</t>
    </r>
  </si>
  <si>
    <r>
      <t>Total Vendas:</t>
    </r>
    <r>
      <rPr>
        <sz val="11"/>
        <color rgb="FF000000"/>
        <rFont val="Calibri"/>
        <family val="2"/>
        <scheme val="minor"/>
      </rPr>
      <t> R$ 32.542,49</t>
    </r>
  </si>
  <si>
    <r>
      <t>Vendas com Nota:</t>
    </r>
    <r>
      <rPr>
        <sz val="11"/>
        <color rgb="FF000000"/>
        <rFont val="Calibri"/>
        <family val="2"/>
        <scheme val="minor"/>
      </rPr>
      <t> R$ 1.707,40</t>
    </r>
  </si>
  <si>
    <r>
      <t>Total Vendas:</t>
    </r>
    <r>
      <rPr>
        <sz val="11"/>
        <color rgb="FF000000"/>
        <rFont val="Calibri"/>
        <family val="2"/>
        <scheme val="minor"/>
      </rPr>
      <t> R$ 1.707,40</t>
    </r>
  </si>
  <si>
    <r>
      <t>Vendas com Nota:</t>
    </r>
    <r>
      <rPr>
        <sz val="11"/>
        <color rgb="FF000000"/>
        <rFont val="Calibri"/>
        <family val="2"/>
        <scheme val="minor"/>
      </rPr>
      <t> R$ 3.507,31</t>
    </r>
  </si>
  <si>
    <r>
      <t>Total Vendas:</t>
    </r>
    <r>
      <rPr>
        <sz val="11"/>
        <color rgb="FF000000"/>
        <rFont val="Calibri"/>
        <family val="2"/>
        <scheme val="minor"/>
      </rPr>
      <t> R$ 3.507,31</t>
    </r>
  </si>
  <si>
    <r>
      <t>Vendas com Nota:</t>
    </r>
    <r>
      <rPr>
        <sz val="11"/>
        <color rgb="FF000000"/>
        <rFont val="Calibri"/>
        <family val="2"/>
        <scheme val="minor"/>
      </rPr>
      <t> R$ 40.932,96</t>
    </r>
  </si>
  <si>
    <r>
      <t>Total Vendas:</t>
    </r>
    <r>
      <rPr>
        <sz val="11"/>
        <color rgb="FF000000"/>
        <rFont val="Calibri"/>
        <family val="2"/>
        <scheme val="minor"/>
      </rPr>
      <t> R$ 40.932,96</t>
    </r>
  </si>
  <si>
    <r>
      <t>Devoluções:</t>
    </r>
    <r>
      <rPr>
        <sz val="11"/>
        <color rgb="FFFF0000"/>
        <rFont val="Calibri"/>
        <family val="2"/>
        <scheme val="minor"/>
      </rPr>
      <t> R$ 1.637,14</t>
    </r>
  </si>
  <si>
    <r>
      <t>Vendas sem Nota:</t>
    </r>
    <r>
      <rPr>
        <sz val="11"/>
        <color rgb="FF000000"/>
        <rFont val="Calibri"/>
        <family val="2"/>
        <scheme val="minor"/>
      </rPr>
      <t> R$ 72,00</t>
    </r>
  </si>
  <si>
    <r>
      <t>Vendas com Nota:</t>
    </r>
    <r>
      <rPr>
        <sz val="11"/>
        <color rgb="FF000000"/>
        <rFont val="Calibri"/>
        <family val="2"/>
        <scheme val="minor"/>
      </rPr>
      <t> R$ 102.383,17</t>
    </r>
  </si>
  <si>
    <r>
      <t>Total Vendas:</t>
    </r>
    <r>
      <rPr>
        <sz val="11"/>
        <color rgb="FF000000"/>
        <rFont val="Calibri"/>
        <family val="2"/>
        <scheme val="minor"/>
      </rPr>
      <t> R$ 102.455,17</t>
    </r>
  </si>
  <si>
    <t>OK</t>
  </si>
  <si>
    <t>ERRO</t>
  </si>
  <si>
    <t>Pont Com</t>
  </si>
  <si>
    <t>Status</t>
  </si>
  <si>
    <t>Diferença</t>
  </si>
  <si>
    <t>frete/arredond</t>
  </si>
  <si>
    <t>ok</t>
  </si>
  <si>
    <t>outras despesas</t>
  </si>
  <si>
    <t>exemplo de outras despesas:</t>
  </si>
  <si>
    <t>alteração do financeiro</t>
  </si>
  <si>
    <t>prov. outras desp.</t>
  </si>
  <si>
    <t/>
  </si>
  <si>
    <t>pedido 19401 de 28/04/26</t>
  </si>
  <si>
    <t>pedido 19553 de 29/04/26</t>
  </si>
  <si>
    <t>pedido 19564 de 29/04/26</t>
  </si>
  <si>
    <t>pedido 19811 alterado no financeiro</t>
  </si>
  <si>
    <t>pedido 19916 alterado no financeiro</t>
  </si>
  <si>
    <t>alteração no financeiro</t>
  </si>
  <si>
    <t>arredondamento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</si>
</sst>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56404"/>
      <name val="Arial"/>
      <family val="2"/>
    </font>
    <font>
      <b/>
      <u/>
      <sz val="9"/>
      <color rgb="FF8A6D3B"/>
      <name val="Arial"/>
      <family val="2"/>
    </font>
    <font>
      <b/>
      <sz val="9"/>
      <color rgb="FF495057"/>
      <name val="Segoe UI"/>
      <family val="2"/>
    </font>
    <font>
      <b/>
      <sz val="9"/>
      <color rgb="FF212529"/>
      <name val="Segoe UI"/>
      <family val="2"/>
    </font>
    <font>
      <sz val="9"/>
      <color rgb="FF212529"/>
      <name val="Segoe UI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B6C5D7"/>
        <bgColor indexed="64"/>
      </patternFill>
    </fill>
    <fill>
      <patternFill patternType="solid">
        <fgColor rgb="FFD6E1EE"/>
        <bgColor indexed="64"/>
      </patternFill>
    </fill>
    <fill>
      <patternFill patternType="solid">
        <fgColor rgb="FFECF0F5"/>
        <bgColor indexed="64"/>
      </patternFill>
    </fill>
  </fills>
  <borders count="11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/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4F4F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/>
    <xf numFmtId="0" fontId="4" fillId="3" borderId="3" xfId="0" applyFont="1" applyFill="1" applyBorder="1" applyAlignment="1"/>
    <xf numFmtId="0" fontId="5" fillId="2" borderId="4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center" vertical="top"/>
    </xf>
    <xf numFmtId="8" fontId="6" fillId="2" borderId="4" xfId="0" applyNumberFormat="1" applyFont="1" applyFill="1" applyBorder="1" applyAlignment="1">
      <alignment horizontal="right" vertical="top"/>
    </xf>
    <xf numFmtId="0" fontId="5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vertical="top"/>
    </xf>
    <xf numFmtId="8" fontId="6" fillId="2" borderId="5" xfId="0" applyNumberFormat="1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8" fontId="6" fillId="2" borderId="6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8" fontId="6" fillId="2" borderId="7" xfId="0" applyNumberFormat="1" applyFont="1" applyFill="1" applyBorder="1" applyAlignment="1">
      <alignment vertical="top"/>
    </xf>
    <xf numFmtId="8" fontId="0" fillId="0" borderId="0" xfId="0" applyNumberFormat="1"/>
    <xf numFmtId="0" fontId="8" fillId="4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5" borderId="8" xfId="0" applyFont="1" applyFill="1" applyBorder="1" applyAlignment="1">
      <alignment horizontal="center" vertical="center"/>
    </xf>
    <xf numFmtId="8" fontId="9" fillId="5" borderId="8" xfId="0" applyNumberFormat="1" applyFont="1" applyFill="1" applyBorder="1" applyAlignment="1">
      <alignment horizontal="right" vertical="center"/>
    </xf>
    <xf numFmtId="8" fontId="0" fillId="0" borderId="0" xfId="0" applyNumberFormat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8" xfId="0" applyBorder="1" applyAlignment="1">
      <alignment vertical="center"/>
    </xf>
    <xf numFmtId="8" fontId="0" fillId="0" borderId="8" xfId="0" applyNumberFormat="1" applyBorder="1" applyAlignment="1">
      <alignment vertical="center"/>
    </xf>
    <xf numFmtId="0" fontId="10" fillId="5" borderId="8" xfId="0" applyFont="1" applyFill="1" applyBorder="1" applyAlignment="1">
      <alignment horizontal="right" vertical="center"/>
    </xf>
    <xf numFmtId="8" fontId="10" fillId="5" borderId="8" xfId="0" applyNumberFormat="1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8" fontId="1" fillId="0" borderId="8" xfId="0" applyNumberFormat="1" applyFont="1" applyBorder="1" applyAlignment="1">
      <alignment horizontal="center" vertical="center"/>
    </xf>
    <xf numFmtId="0" fontId="0" fillId="2" borderId="0" xfId="0" applyFont="1" applyFill="1" applyAlignment="1"/>
    <xf numFmtId="0" fontId="0" fillId="2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top"/>
    </xf>
    <xf numFmtId="8" fontId="12" fillId="5" borderId="8" xfId="0" applyNumberFormat="1" applyFont="1" applyFill="1" applyBorder="1" applyAlignment="1">
      <alignment horizontal="right" vertical="top"/>
    </xf>
    <xf numFmtId="0" fontId="0" fillId="2" borderId="8" xfId="0" applyFont="1" applyFill="1" applyBorder="1" applyAlignment="1">
      <alignment vertical="center"/>
    </xf>
    <xf numFmtId="0" fontId="11" fillId="5" borderId="8" xfId="0" applyFont="1" applyFill="1" applyBorder="1" applyAlignment="1">
      <alignment horizontal="right" vertical="top"/>
    </xf>
    <xf numFmtId="8" fontId="11" fillId="5" borderId="8" xfId="0" applyNumberFormat="1" applyFont="1" applyFill="1" applyBorder="1" applyAlignment="1">
      <alignment horizontal="right" vertical="top"/>
    </xf>
    <xf numFmtId="0" fontId="10" fillId="5" borderId="8" xfId="0" applyFont="1" applyFill="1" applyBorder="1" applyAlignment="1">
      <alignment horizontal="right" vertical="top"/>
    </xf>
    <xf numFmtId="8" fontId="10" fillId="5" borderId="8" xfId="0" applyNumberFormat="1" applyFont="1" applyFill="1" applyBorder="1" applyAlignment="1">
      <alignment horizontal="right" vertical="top"/>
    </xf>
    <xf numFmtId="0" fontId="11" fillId="5" borderId="0" xfId="0" applyFont="1" applyFill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2" fillId="5" borderId="0" xfId="0" applyFont="1" applyFill="1" applyAlignment="1">
      <alignment horizontal="left" vertical="center"/>
    </xf>
    <xf numFmtId="0" fontId="0" fillId="6" borderId="9" xfId="0" applyFont="1" applyFill="1" applyBorder="1" applyAlignment="1">
      <alignment vertical="center"/>
    </xf>
    <xf numFmtId="0" fontId="0" fillId="5" borderId="0" xfId="0" applyFont="1" applyFill="1" applyAlignment="1">
      <alignment horizontal="right" vertical="center"/>
    </xf>
    <xf numFmtId="0" fontId="11" fillId="4" borderId="8" xfId="0" applyFont="1" applyFill="1" applyBorder="1" applyAlignment="1">
      <alignment horizontal="right" vertical="center"/>
    </xf>
    <xf numFmtId="0" fontId="11" fillId="5" borderId="8" xfId="0" applyFont="1" applyFill="1" applyBorder="1" applyAlignment="1">
      <alignment horizontal="right" vertical="center"/>
    </xf>
    <xf numFmtId="8" fontId="11" fillId="5" borderId="8" xfId="0" applyNumberFormat="1" applyFont="1" applyFill="1" applyBorder="1" applyAlignment="1">
      <alignment horizontal="right" vertical="center"/>
    </xf>
    <xf numFmtId="0" fontId="11" fillId="4" borderId="8" xfId="0" applyFont="1" applyFill="1" applyBorder="1" applyAlignment="1">
      <alignment horizontal="right" vertical="center"/>
    </xf>
    <xf numFmtId="2" fontId="0" fillId="0" borderId="0" xfId="0" applyNumberFormat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8" fontId="9" fillId="5" borderId="0" xfId="0" applyNumberFormat="1" applyFont="1" applyFill="1" applyBorder="1" applyAlignment="1">
      <alignment horizontal="right" vertical="center"/>
    </xf>
    <xf numFmtId="8" fontId="0" fillId="0" borderId="0" xfId="0" applyNumberFormat="1" applyBorder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8" fontId="1" fillId="0" borderId="0" xfId="0" applyNumberFormat="1" applyFont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left" vertical="top"/>
    </xf>
    <xf numFmtId="4" fontId="0" fillId="0" borderId="0" xfId="0" applyNumberFormat="1"/>
    <xf numFmtId="0" fontId="11" fillId="4" borderId="10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260</xdr:row>
      <xdr:rowOff>0</xdr:rowOff>
    </xdr:from>
    <xdr:to>
      <xdr:col>6</xdr:col>
      <xdr:colOff>432858</xdr:colOff>
      <xdr:row>280</xdr:row>
      <xdr:rowOff>171450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0"/>
          <a:ext cx="6957483" cy="398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Views>
    <sheetView tabSelected="1" workbookViewId="0">
      <selection activeCell="D2" sqref="D2"/>
    </sheetView>
  </sheetViews>
  <sheetFormatPr defaultRowHeight="15" x14ac:dyDescent="0.25"/>
  <cols>
    <col min="1" max="1" width="7" bestFit="1" customWidth="1"/>
    <col min="2" max="2" width="5.28515625" bestFit="1" customWidth="1"/>
    <col min="3" max="3" width="4" bestFit="1" customWidth="1"/>
    <col min="4" max="4" width="34.42578125" customWidth="1"/>
    <col min="5" max="5" width="36.7109375" bestFit="1" customWidth="1"/>
    <col min="6" max="6" width="12.7109375" bestFit="1" customWidth="1"/>
  </cols>
  <sheetData>
    <row r="1" spans="1:10" ht="15.75" thickBot="1" x14ac:dyDescent="0.3">
      <c r="A1" s="3" t="s">
        <v>2</v>
      </c>
      <c r="B1" s="3" t="s">
        <v>1</v>
      </c>
      <c r="C1" s="3"/>
      <c r="D1" s="3" t="s">
        <v>0</v>
      </c>
      <c r="E1" s="3" t="s">
        <v>1</v>
      </c>
      <c r="F1" s="3" t="s">
        <v>3</v>
      </c>
      <c r="G1" s="4"/>
      <c r="H1" s="5"/>
    </row>
    <row r="2" spans="1:10" ht="16.5" thickTop="1" thickBot="1" x14ac:dyDescent="0.3">
      <c r="A2" s="8">
        <v>19816</v>
      </c>
      <c r="B2" s="61">
        <v>4935</v>
      </c>
      <c r="C2" s="6">
        <v>1</v>
      </c>
      <c r="D2" s="7" t="s">
        <v>4</v>
      </c>
      <c r="E2" s="7" t="s">
        <v>5</v>
      </c>
      <c r="F2" s="9">
        <v>2316</v>
      </c>
      <c r="G2" s="64">
        <f>VLOOKUP(A2,'Relatório Vendas por Pedido'!$A$2:$G$252,7,FALSE)</f>
        <v>2316</v>
      </c>
      <c r="H2" t="str">
        <f>IF(G2=F2,"OK","ERRO")</f>
        <v>OK</v>
      </c>
      <c r="I2" s="64" t="s">
        <v>411</v>
      </c>
    </row>
    <row r="3" spans="1:10" ht="15.75" thickBot="1" x14ac:dyDescent="0.3">
      <c r="A3" s="8">
        <v>19579</v>
      </c>
      <c r="B3" s="61">
        <v>14538</v>
      </c>
      <c r="C3" s="6">
        <v>2</v>
      </c>
      <c r="D3" s="7" t="s">
        <v>6</v>
      </c>
      <c r="E3" s="7" t="s">
        <v>7</v>
      </c>
      <c r="F3" s="9">
        <v>475</v>
      </c>
      <c r="G3" s="64">
        <f>VLOOKUP(A3,'Relatório Vendas por Pedido'!$A$2:$G$252,7,FALSE)</f>
        <v>475</v>
      </c>
      <c r="H3" t="str">
        <f t="shared" ref="H3:H66" si="0">IF(G3=F3,"OK","ERRO")</f>
        <v>OK</v>
      </c>
      <c r="I3" s="64" t="s">
        <v>411</v>
      </c>
    </row>
    <row r="4" spans="1:10" ht="15.75" thickBot="1" x14ac:dyDescent="0.3">
      <c r="A4" s="8">
        <v>19640</v>
      </c>
      <c r="B4" s="61">
        <v>14536</v>
      </c>
      <c r="C4" s="6">
        <v>3</v>
      </c>
      <c r="D4" s="7" t="s">
        <v>6</v>
      </c>
      <c r="E4" s="7" t="s">
        <v>8</v>
      </c>
      <c r="F4" s="9">
        <v>550</v>
      </c>
      <c r="G4" s="64">
        <f>VLOOKUP(A4,'Relatório Vendas por Pedido'!$A$2:$G$252,7,FALSE)</f>
        <v>520</v>
      </c>
      <c r="H4" t="str">
        <f t="shared" si="0"/>
        <v>ERRO</v>
      </c>
      <c r="I4" s="64">
        <v>30</v>
      </c>
      <c r="J4" t="s">
        <v>407</v>
      </c>
    </row>
    <row r="5" spans="1:10" ht="15.75" thickBot="1" x14ac:dyDescent="0.3">
      <c r="A5" s="8">
        <v>19797</v>
      </c>
      <c r="B5" s="61">
        <v>14674</v>
      </c>
      <c r="C5" s="6">
        <v>4</v>
      </c>
      <c r="D5" s="7" t="s">
        <v>6</v>
      </c>
      <c r="E5" s="7" t="s">
        <v>9</v>
      </c>
      <c r="F5" s="9">
        <v>520</v>
      </c>
      <c r="G5" s="64">
        <f>VLOOKUP(A5,'Relatório Vendas por Pedido'!$A$2:$G$252,7,FALSE)</f>
        <v>520</v>
      </c>
      <c r="H5" t="str">
        <f t="shared" si="0"/>
        <v>OK</v>
      </c>
      <c r="I5" s="64" t="s">
        <v>411</v>
      </c>
    </row>
    <row r="6" spans="1:10" ht="15.75" thickBot="1" x14ac:dyDescent="0.3">
      <c r="A6" s="8">
        <v>19866</v>
      </c>
      <c r="B6" s="61">
        <v>14694</v>
      </c>
      <c r="C6" s="6">
        <v>5</v>
      </c>
      <c r="D6" s="7" t="s">
        <v>6</v>
      </c>
      <c r="E6" s="7" t="s">
        <v>10</v>
      </c>
      <c r="F6" s="9">
        <v>520</v>
      </c>
      <c r="G6" s="64">
        <f>VLOOKUP(A6,'Relatório Vendas por Pedido'!$A$2:$G$252,7,FALSE)</f>
        <v>520</v>
      </c>
      <c r="H6" t="str">
        <f t="shared" si="0"/>
        <v>OK</v>
      </c>
      <c r="I6" s="64" t="s">
        <v>411</v>
      </c>
    </row>
    <row r="7" spans="1:10" ht="15.75" thickBot="1" x14ac:dyDescent="0.3">
      <c r="A7" s="8">
        <v>19651</v>
      </c>
      <c r="B7" s="61">
        <v>14543</v>
      </c>
      <c r="C7" s="6">
        <v>6</v>
      </c>
      <c r="D7" s="7" t="s">
        <v>11</v>
      </c>
      <c r="E7" s="7" t="s">
        <v>12</v>
      </c>
      <c r="F7" s="9">
        <v>16.88</v>
      </c>
      <c r="G7" s="64">
        <f>VLOOKUP(A7,'Relatório Vendas por Pedido'!$A$2:$G$252,7,FALSE)</f>
        <v>16.88</v>
      </c>
      <c r="H7" t="str">
        <f t="shared" si="0"/>
        <v>OK</v>
      </c>
      <c r="I7" s="64" t="s">
        <v>411</v>
      </c>
    </row>
    <row r="8" spans="1:10" ht="15.75" thickBot="1" x14ac:dyDescent="0.3">
      <c r="A8" s="8">
        <v>19718</v>
      </c>
      <c r="B8" s="61">
        <v>14588</v>
      </c>
      <c r="C8" s="6">
        <v>7</v>
      </c>
      <c r="D8" s="7" t="s">
        <v>11</v>
      </c>
      <c r="E8" s="7" t="s">
        <v>13</v>
      </c>
      <c r="F8" s="9">
        <v>452.72</v>
      </c>
      <c r="G8" s="64">
        <f>VLOOKUP(A8,'Relatório Vendas por Pedido'!$A$2:$G$252,7,FALSE)</f>
        <v>452.72</v>
      </c>
      <c r="H8" t="str">
        <f t="shared" si="0"/>
        <v>OK</v>
      </c>
      <c r="I8" s="64" t="s">
        <v>411</v>
      </c>
    </row>
    <row r="9" spans="1:10" ht="15.75" thickBot="1" x14ac:dyDescent="0.3">
      <c r="A9" s="8">
        <v>19801</v>
      </c>
      <c r="B9" s="61">
        <v>14653</v>
      </c>
      <c r="C9" s="6">
        <v>8</v>
      </c>
      <c r="D9" s="7" t="s">
        <v>11</v>
      </c>
      <c r="E9" s="7" t="s">
        <v>14</v>
      </c>
      <c r="F9" s="9">
        <v>81.08</v>
      </c>
      <c r="G9" s="64">
        <f>VLOOKUP(A9,'Relatório Vendas por Pedido'!$A$2:$G$252,7,FALSE)</f>
        <v>81.08</v>
      </c>
      <c r="H9" t="str">
        <f t="shared" si="0"/>
        <v>OK</v>
      </c>
      <c r="I9" s="64" t="s">
        <v>411</v>
      </c>
    </row>
    <row r="10" spans="1:10" ht="15.75" thickBot="1" x14ac:dyDescent="0.3">
      <c r="A10" s="8">
        <v>19925</v>
      </c>
      <c r="B10" s="61">
        <v>14727</v>
      </c>
      <c r="C10" s="6">
        <v>9</v>
      </c>
      <c r="D10" s="7" t="s">
        <v>11</v>
      </c>
      <c r="E10" s="7" t="s">
        <v>15</v>
      </c>
      <c r="F10" s="9">
        <v>435.84</v>
      </c>
      <c r="G10" s="64">
        <f>VLOOKUP(A10,'Relatório Vendas por Pedido'!$A$2:$G$252,7,FALSE)</f>
        <v>435.84</v>
      </c>
      <c r="H10" t="str">
        <f t="shared" si="0"/>
        <v>OK</v>
      </c>
      <c r="I10" s="64" t="s">
        <v>411</v>
      </c>
    </row>
    <row r="11" spans="1:10" ht="15.75" thickBot="1" x14ac:dyDescent="0.3">
      <c r="A11" s="8">
        <v>19679</v>
      </c>
      <c r="B11" s="61">
        <v>4918</v>
      </c>
      <c r="C11" s="6">
        <v>10</v>
      </c>
      <c r="D11" s="7" t="s">
        <v>16</v>
      </c>
      <c r="E11" s="7" t="s">
        <v>17</v>
      </c>
      <c r="F11" s="9">
        <v>2242.5</v>
      </c>
      <c r="G11" s="64">
        <f>VLOOKUP(A11,'Relatório Vendas por Pedido'!$A$2:$G$252,7,FALSE)</f>
        <v>2242.5</v>
      </c>
      <c r="H11" t="str">
        <f t="shared" si="0"/>
        <v>OK</v>
      </c>
      <c r="I11" s="64" t="s">
        <v>411</v>
      </c>
    </row>
    <row r="12" spans="1:10" ht="15.75" thickBot="1" x14ac:dyDescent="0.3">
      <c r="A12" s="8">
        <v>19649</v>
      </c>
      <c r="B12" s="61">
        <v>14553</v>
      </c>
      <c r="C12" s="6">
        <v>11</v>
      </c>
      <c r="D12" s="7" t="s">
        <v>18</v>
      </c>
      <c r="E12" s="7" t="s">
        <v>19</v>
      </c>
      <c r="F12" s="9">
        <v>166</v>
      </c>
      <c r="G12" s="64">
        <f>VLOOKUP(A12,'Relatório Vendas por Pedido'!$A$2:$G$252,7,FALSE)</f>
        <v>156</v>
      </c>
      <c r="H12" t="str">
        <f t="shared" si="0"/>
        <v>ERRO</v>
      </c>
      <c r="I12" s="64">
        <v>10</v>
      </c>
      <c r="J12" t="s">
        <v>407</v>
      </c>
    </row>
    <row r="13" spans="1:10" ht="15.75" thickBot="1" x14ac:dyDescent="0.3">
      <c r="A13" s="8">
        <v>19705</v>
      </c>
      <c r="B13" s="61">
        <v>14580</v>
      </c>
      <c r="C13" s="6">
        <v>12</v>
      </c>
      <c r="D13" s="7" t="s">
        <v>18</v>
      </c>
      <c r="E13" s="7" t="s">
        <v>20</v>
      </c>
      <c r="F13" s="9">
        <v>237</v>
      </c>
      <c r="G13" s="64">
        <f>VLOOKUP(A13,'Relatório Vendas por Pedido'!$A$2:$G$252,7,FALSE)</f>
        <v>227.5</v>
      </c>
      <c r="H13" t="str">
        <f t="shared" si="0"/>
        <v>ERRO</v>
      </c>
      <c r="I13" s="64">
        <v>9.5</v>
      </c>
      <c r="J13" t="s">
        <v>407</v>
      </c>
    </row>
    <row r="14" spans="1:10" ht="15.75" thickBot="1" x14ac:dyDescent="0.3">
      <c r="A14" s="8">
        <v>19749</v>
      </c>
      <c r="B14" s="61">
        <v>14618</v>
      </c>
      <c r="C14" s="6">
        <v>13</v>
      </c>
      <c r="D14" s="7" t="s">
        <v>18</v>
      </c>
      <c r="E14" s="7" t="s">
        <v>21</v>
      </c>
      <c r="F14" s="9">
        <v>138</v>
      </c>
      <c r="G14" s="64">
        <f>VLOOKUP(A14,'Relatório Vendas por Pedido'!$A$2:$G$252,7,FALSE)</f>
        <v>128</v>
      </c>
      <c r="H14" t="str">
        <f t="shared" si="0"/>
        <v>ERRO</v>
      </c>
      <c r="I14" s="64">
        <v>10</v>
      </c>
      <c r="J14" t="s">
        <v>407</v>
      </c>
    </row>
    <row r="15" spans="1:10" ht="15.75" thickBot="1" x14ac:dyDescent="0.3">
      <c r="A15" s="8">
        <v>19798</v>
      </c>
      <c r="B15" s="61">
        <v>14652</v>
      </c>
      <c r="C15" s="6">
        <v>14</v>
      </c>
      <c r="D15" s="7" t="s">
        <v>18</v>
      </c>
      <c r="E15" s="7" t="s">
        <v>22</v>
      </c>
      <c r="F15" s="9">
        <v>290</v>
      </c>
      <c r="G15" s="64">
        <f>VLOOKUP(A15,'Relatório Vendas por Pedido'!$A$2:$G$252,7,FALSE)</f>
        <v>280</v>
      </c>
      <c r="H15" t="str">
        <f t="shared" si="0"/>
        <v>ERRO</v>
      </c>
      <c r="I15" s="64">
        <v>10</v>
      </c>
      <c r="J15" t="s">
        <v>407</v>
      </c>
    </row>
    <row r="16" spans="1:10" ht="15.75" thickBot="1" x14ac:dyDescent="0.3">
      <c r="A16" s="8">
        <v>19889</v>
      </c>
      <c r="B16" s="61">
        <v>14713</v>
      </c>
      <c r="C16" s="6">
        <v>15</v>
      </c>
      <c r="D16" s="7" t="s">
        <v>18</v>
      </c>
      <c r="E16" s="7" t="s">
        <v>23</v>
      </c>
      <c r="F16" s="9">
        <v>290</v>
      </c>
      <c r="G16" s="64">
        <f>VLOOKUP(A16,'Relatório Vendas por Pedido'!$A$2:$G$252,7,FALSE)</f>
        <v>280</v>
      </c>
      <c r="H16" t="str">
        <f t="shared" si="0"/>
        <v>ERRO</v>
      </c>
      <c r="I16" s="64">
        <v>10</v>
      </c>
      <c r="J16" t="s">
        <v>407</v>
      </c>
    </row>
    <row r="17" spans="1:10" ht="15.75" thickBot="1" x14ac:dyDescent="0.3">
      <c r="A17" s="8">
        <v>19757</v>
      </c>
      <c r="B17" s="61">
        <v>14623</v>
      </c>
      <c r="C17" s="6">
        <v>16</v>
      </c>
      <c r="D17" s="7" t="s">
        <v>24</v>
      </c>
      <c r="E17" s="7" t="s">
        <v>25</v>
      </c>
      <c r="F17" s="9">
        <v>527</v>
      </c>
      <c r="G17" s="64">
        <f>VLOOKUP(A17,'Relatório Vendas por Pedido'!$A$2:$G$252,7,FALSE)</f>
        <v>500</v>
      </c>
      <c r="H17" t="str">
        <f t="shared" si="0"/>
        <v>ERRO</v>
      </c>
      <c r="I17" s="64">
        <v>27</v>
      </c>
      <c r="J17" t="s">
        <v>407</v>
      </c>
    </row>
    <row r="18" spans="1:10" ht="15.75" thickBot="1" x14ac:dyDescent="0.3">
      <c r="A18" s="8">
        <v>19673</v>
      </c>
      <c r="B18" s="61">
        <v>14560</v>
      </c>
      <c r="C18" s="6">
        <v>17</v>
      </c>
      <c r="D18" s="7" t="s">
        <v>26</v>
      </c>
      <c r="E18" s="7" t="s">
        <v>27</v>
      </c>
      <c r="F18" s="9">
        <v>214</v>
      </c>
      <c r="G18" s="64">
        <f>VLOOKUP(A18,'Relatório Vendas por Pedido'!$A$2:$G$252,7,FALSE)</f>
        <v>200</v>
      </c>
      <c r="H18" t="str">
        <f t="shared" si="0"/>
        <v>ERRO</v>
      </c>
      <c r="I18" s="64">
        <v>14</v>
      </c>
      <c r="J18" t="s">
        <v>407</v>
      </c>
    </row>
    <row r="19" spans="1:10" ht="15.75" thickBot="1" x14ac:dyDescent="0.3">
      <c r="A19" s="8">
        <v>19717</v>
      </c>
      <c r="B19" s="61">
        <v>14587</v>
      </c>
      <c r="C19" s="6">
        <v>18</v>
      </c>
      <c r="D19" s="7" t="s">
        <v>26</v>
      </c>
      <c r="E19" s="7" t="s">
        <v>28</v>
      </c>
      <c r="F19" s="9">
        <v>554</v>
      </c>
      <c r="G19" s="64">
        <f>VLOOKUP(A19,'Relatório Vendas por Pedido'!$A$2:$G$252,7,FALSE)</f>
        <v>554</v>
      </c>
      <c r="H19" t="str">
        <f t="shared" si="0"/>
        <v>OK</v>
      </c>
      <c r="I19" s="64" t="s">
        <v>411</v>
      </c>
    </row>
    <row r="20" spans="1:10" ht="15.75" thickBot="1" x14ac:dyDescent="0.3">
      <c r="A20" s="8">
        <v>19882</v>
      </c>
      <c r="B20" s="61">
        <v>14702</v>
      </c>
      <c r="C20" s="6">
        <v>19</v>
      </c>
      <c r="D20" s="7" t="s">
        <v>26</v>
      </c>
      <c r="E20" s="7" t="s">
        <v>29</v>
      </c>
      <c r="F20" s="9">
        <v>135</v>
      </c>
      <c r="G20" s="64">
        <f>VLOOKUP(A20,'Relatório Vendas por Pedido'!$A$2:$G$252,7,FALSE)</f>
        <v>135</v>
      </c>
      <c r="H20" t="str">
        <f t="shared" si="0"/>
        <v>OK</v>
      </c>
      <c r="I20" s="64" t="s">
        <v>411</v>
      </c>
    </row>
    <row r="21" spans="1:10" ht="15.75" thickBot="1" x14ac:dyDescent="0.3">
      <c r="A21" s="8">
        <v>19892</v>
      </c>
      <c r="B21" s="61">
        <v>14708</v>
      </c>
      <c r="C21" s="6">
        <v>20</v>
      </c>
      <c r="D21" s="7" t="s">
        <v>26</v>
      </c>
      <c r="E21" s="7" t="s">
        <v>30</v>
      </c>
      <c r="F21" s="9">
        <v>552</v>
      </c>
      <c r="G21" s="64">
        <f>VLOOKUP(A21,'Relatório Vendas por Pedido'!$A$2:$G$252,7,FALSE)</f>
        <v>552</v>
      </c>
      <c r="H21" t="str">
        <f t="shared" si="0"/>
        <v>OK</v>
      </c>
      <c r="I21" s="64" t="s">
        <v>411</v>
      </c>
    </row>
    <row r="22" spans="1:10" ht="15.75" thickBot="1" x14ac:dyDescent="0.3">
      <c r="A22" s="8">
        <v>19641</v>
      </c>
      <c r="B22" s="61">
        <v>14535</v>
      </c>
      <c r="C22" s="6">
        <v>21</v>
      </c>
      <c r="D22" s="7" t="s">
        <v>31</v>
      </c>
      <c r="E22" s="7" t="s">
        <v>32</v>
      </c>
      <c r="F22" s="9">
        <v>223</v>
      </c>
      <c r="G22" s="64">
        <f>VLOOKUP(A22,'Relatório Vendas por Pedido'!$A$2:$G$252,7,FALSE)</f>
        <v>223</v>
      </c>
      <c r="H22" t="str">
        <f t="shared" si="0"/>
        <v>OK</v>
      </c>
      <c r="I22" s="64" t="s">
        <v>411</v>
      </c>
    </row>
    <row r="23" spans="1:10" ht="15.75" thickBot="1" x14ac:dyDescent="0.3">
      <c r="A23" s="8">
        <v>19711</v>
      </c>
      <c r="B23" s="61">
        <v>14584</v>
      </c>
      <c r="C23" s="6">
        <v>22</v>
      </c>
      <c r="D23" s="7" t="s">
        <v>31</v>
      </c>
      <c r="E23" s="7" t="s">
        <v>33</v>
      </c>
      <c r="F23" s="9">
        <v>517.32000000000005</v>
      </c>
      <c r="G23" s="64">
        <f>VLOOKUP(A23,'Relatório Vendas por Pedido'!$A$2:$G$252,7,FALSE)</f>
        <v>517.32000000000005</v>
      </c>
      <c r="H23" t="str">
        <f t="shared" si="0"/>
        <v>OK</v>
      </c>
      <c r="I23" s="64" t="s">
        <v>411</v>
      </c>
    </row>
    <row r="24" spans="1:10" ht="15.75" thickBot="1" x14ac:dyDescent="0.3">
      <c r="A24" s="8">
        <v>19870</v>
      </c>
      <c r="B24" s="61">
        <v>14698</v>
      </c>
      <c r="C24" s="6">
        <v>23</v>
      </c>
      <c r="D24" s="7" t="s">
        <v>31</v>
      </c>
      <c r="E24" s="7" t="s">
        <v>34</v>
      </c>
      <c r="F24" s="9">
        <v>331.57</v>
      </c>
      <c r="G24" s="64">
        <f>VLOOKUP(A24,'Relatório Vendas por Pedido'!$A$2:$G$252,7,FALSE)</f>
        <v>317.57</v>
      </c>
      <c r="H24" t="str">
        <f t="shared" si="0"/>
        <v>ERRO</v>
      </c>
      <c r="I24" s="64">
        <v>14</v>
      </c>
      <c r="J24" t="s">
        <v>407</v>
      </c>
    </row>
    <row r="25" spans="1:10" ht="15.75" thickBot="1" x14ac:dyDescent="0.3">
      <c r="A25" s="8">
        <v>19830</v>
      </c>
      <c r="B25" s="61">
        <v>4907</v>
      </c>
      <c r="C25" s="6">
        <v>24</v>
      </c>
      <c r="D25" s="7" t="s">
        <v>35</v>
      </c>
      <c r="E25" s="7" t="s">
        <v>36</v>
      </c>
      <c r="F25" s="9">
        <v>692.5</v>
      </c>
      <c r="G25" s="64">
        <f>VLOOKUP(A25,'Relatório Vendas por Pedido'!$A$2:$G$252,7,FALSE)</f>
        <v>682.5</v>
      </c>
      <c r="H25" t="str">
        <f t="shared" si="0"/>
        <v>ERRO</v>
      </c>
      <c r="I25" s="64">
        <v>10</v>
      </c>
      <c r="J25" t="s">
        <v>407</v>
      </c>
    </row>
    <row r="26" spans="1:10" ht="15.75" thickBot="1" x14ac:dyDescent="0.3">
      <c r="A26" s="8">
        <v>19693</v>
      </c>
      <c r="B26" s="61">
        <v>14572</v>
      </c>
      <c r="C26" s="6">
        <v>25</v>
      </c>
      <c r="D26" s="7" t="s">
        <v>37</v>
      </c>
      <c r="E26" s="7" t="s">
        <v>38</v>
      </c>
      <c r="F26" s="9">
        <v>100</v>
      </c>
      <c r="G26" s="64">
        <f>VLOOKUP(A26,'Relatório Vendas por Pedido'!$A$2:$G$252,7,FALSE)</f>
        <v>100</v>
      </c>
      <c r="H26" t="str">
        <f t="shared" si="0"/>
        <v>OK</v>
      </c>
      <c r="I26" s="64" t="s">
        <v>411</v>
      </c>
    </row>
    <row r="27" spans="1:10" ht="15.75" thickBot="1" x14ac:dyDescent="0.3">
      <c r="A27" s="8">
        <v>19669</v>
      </c>
      <c r="B27" s="61">
        <v>14557</v>
      </c>
      <c r="C27" s="6">
        <v>26</v>
      </c>
      <c r="D27" s="7" t="s">
        <v>39</v>
      </c>
      <c r="E27" s="7" t="s">
        <v>40</v>
      </c>
      <c r="F27" s="9">
        <v>148</v>
      </c>
      <c r="G27" s="64">
        <f>VLOOKUP(A27,'Relatório Vendas por Pedido'!$A$2:$G$252,7,FALSE)</f>
        <v>148</v>
      </c>
      <c r="H27" t="str">
        <f t="shared" si="0"/>
        <v>OK</v>
      </c>
      <c r="I27" s="64" t="s">
        <v>411</v>
      </c>
    </row>
    <row r="28" spans="1:10" ht="15.75" thickBot="1" x14ac:dyDescent="0.3">
      <c r="A28" s="8">
        <v>19742</v>
      </c>
      <c r="B28" s="61">
        <v>14612</v>
      </c>
      <c r="C28" s="6">
        <v>27</v>
      </c>
      <c r="D28" s="7" t="s">
        <v>39</v>
      </c>
      <c r="E28" s="7" t="s">
        <v>41</v>
      </c>
      <c r="F28" s="9">
        <v>148</v>
      </c>
      <c r="G28" s="64">
        <f>VLOOKUP(A28,'Relatório Vendas por Pedido'!$A$2:$G$252,7,FALSE)</f>
        <v>148</v>
      </c>
      <c r="H28" t="str">
        <f t="shared" si="0"/>
        <v>OK</v>
      </c>
      <c r="I28" s="64" t="s">
        <v>411</v>
      </c>
    </row>
    <row r="29" spans="1:10" ht="15.75" thickBot="1" x14ac:dyDescent="0.3">
      <c r="A29" s="8">
        <v>19793</v>
      </c>
      <c r="B29" s="61">
        <v>14649</v>
      </c>
      <c r="C29" s="6">
        <v>28</v>
      </c>
      <c r="D29" s="7" t="s">
        <v>39</v>
      </c>
      <c r="E29" s="7" t="s">
        <v>42</v>
      </c>
      <c r="F29" s="9">
        <v>56</v>
      </c>
      <c r="G29" s="64">
        <f>VLOOKUP(A29,'Relatório Vendas por Pedido'!$A$2:$G$252,7,FALSE)</f>
        <v>56</v>
      </c>
      <c r="H29" t="str">
        <f t="shared" si="0"/>
        <v>OK</v>
      </c>
      <c r="I29" s="64" t="s">
        <v>411</v>
      </c>
    </row>
    <row r="30" spans="1:10" ht="15.75" thickBot="1" x14ac:dyDescent="0.3">
      <c r="A30" s="8">
        <v>19650</v>
      </c>
      <c r="B30" s="61">
        <v>14552</v>
      </c>
      <c r="C30" s="6">
        <v>29</v>
      </c>
      <c r="D30" s="7" t="s">
        <v>43</v>
      </c>
      <c r="E30" s="7" t="s">
        <v>44</v>
      </c>
      <c r="F30" s="9">
        <v>262.74</v>
      </c>
      <c r="G30" s="64">
        <f>VLOOKUP(A30,'Relatório Vendas por Pedido'!$A$2:$G$252,7,FALSE)</f>
        <v>253.74</v>
      </c>
      <c r="H30" t="str">
        <f t="shared" si="0"/>
        <v>ERRO</v>
      </c>
      <c r="I30" s="64">
        <v>9</v>
      </c>
      <c r="J30" t="s">
        <v>407</v>
      </c>
    </row>
    <row r="31" spans="1:10" ht="15.75" thickBot="1" x14ac:dyDescent="0.3">
      <c r="A31" s="8">
        <v>19575</v>
      </c>
      <c r="B31" s="61">
        <v>4915</v>
      </c>
      <c r="C31" s="6">
        <v>30</v>
      </c>
      <c r="D31" s="7" t="s">
        <v>45</v>
      </c>
      <c r="E31" s="7" t="s">
        <v>46</v>
      </c>
      <c r="F31" s="9">
        <v>1771.08</v>
      </c>
      <c r="G31" s="64">
        <f>VLOOKUP(A31,'Relatório Vendas por Pedido'!$A$2:$G$252,7,FALSE)</f>
        <v>1771.08</v>
      </c>
      <c r="H31" t="str">
        <f t="shared" si="0"/>
        <v>OK</v>
      </c>
      <c r="I31" s="64" t="s">
        <v>411</v>
      </c>
    </row>
    <row r="32" spans="1:10" ht="15.75" thickBot="1" x14ac:dyDescent="0.3">
      <c r="A32" s="8">
        <v>19857</v>
      </c>
      <c r="B32" s="61">
        <v>4912</v>
      </c>
      <c r="C32" s="6">
        <v>31</v>
      </c>
      <c r="D32" s="7" t="s">
        <v>47</v>
      </c>
      <c r="E32" s="7" t="s">
        <v>48</v>
      </c>
      <c r="F32" s="9">
        <v>2900</v>
      </c>
      <c r="G32" s="64">
        <f>VLOOKUP(A32,'Relatório Vendas por Pedido'!$A$2:$G$252,7,FALSE)</f>
        <v>2900</v>
      </c>
      <c r="H32" t="str">
        <f t="shared" si="0"/>
        <v>OK</v>
      </c>
      <c r="I32" s="64" t="s">
        <v>411</v>
      </c>
    </row>
    <row r="33" spans="1:10" ht="15.75" thickBot="1" x14ac:dyDescent="0.3">
      <c r="A33" s="8">
        <v>19653</v>
      </c>
      <c r="B33" s="61">
        <v>14551</v>
      </c>
      <c r="C33" s="6">
        <v>32</v>
      </c>
      <c r="D33" s="7" t="s">
        <v>49</v>
      </c>
      <c r="E33" s="7" t="s">
        <v>50</v>
      </c>
      <c r="F33" s="9">
        <v>105</v>
      </c>
      <c r="G33" s="64">
        <f>VLOOKUP(A33,'Relatório Vendas por Pedido'!$A$2:$G$252,7,FALSE)</f>
        <v>90</v>
      </c>
      <c r="H33" t="str">
        <f t="shared" si="0"/>
        <v>ERRO</v>
      </c>
      <c r="I33" s="64">
        <v>15</v>
      </c>
      <c r="J33" t="s">
        <v>407</v>
      </c>
    </row>
    <row r="34" spans="1:10" ht="15.75" thickBot="1" x14ac:dyDescent="0.3">
      <c r="A34" s="8">
        <v>19695</v>
      </c>
      <c r="B34" s="61">
        <v>14577</v>
      </c>
      <c r="C34" s="6">
        <v>33</v>
      </c>
      <c r="D34" s="7" t="s">
        <v>49</v>
      </c>
      <c r="E34" s="7" t="s">
        <v>51</v>
      </c>
      <c r="F34" s="9">
        <v>130</v>
      </c>
      <c r="G34" s="64">
        <f>VLOOKUP(A34,'Relatório Vendas por Pedido'!$A$2:$G$252,7,FALSE)</f>
        <v>114</v>
      </c>
      <c r="H34" t="str">
        <f t="shared" si="0"/>
        <v>ERRO</v>
      </c>
      <c r="I34" s="64">
        <v>16</v>
      </c>
      <c r="J34" t="s">
        <v>407</v>
      </c>
    </row>
    <row r="35" spans="1:10" ht="15.75" thickBot="1" x14ac:dyDescent="0.3">
      <c r="A35" s="8">
        <v>19731</v>
      </c>
      <c r="B35" s="61">
        <v>14605</v>
      </c>
      <c r="C35" s="6">
        <v>34</v>
      </c>
      <c r="D35" s="7" t="s">
        <v>49</v>
      </c>
      <c r="E35" s="7" t="s">
        <v>52</v>
      </c>
      <c r="F35" s="9">
        <v>125</v>
      </c>
      <c r="G35" s="64">
        <f>VLOOKUP(A35,'Relatório Vendas por Pedido'!$A$2:$G$252,7,FALSE)</f>
        <v>112</v>
      </c>
      <c r="H35" t="str">
        <f t="shared" si="0"/>
        <v>ERRO</v>
      </c>
      <c r="I35" s="64">
        <v>13</v>
      </c>
      <c r="J35" t="s">
        <v>407</v>
      </c>
    </row>
    <row r="36" spans="1:10" ht="15.75" thickBot="1" x14ac:dyDescent="0.3">
      <c r="A36" s="8">
        <v>19776</v>
      </c>
      <c r="B36" s="61">
        <v>14647</v>
      </c>
      <c r="C36" s="6">
        <v>35</v>
      </c>
      <c r="D36" s="7" t="s">
        <v>49</v>
      </c>
      <c r="E36" s="7" t="s">
        <v>53</v>
      </c>
      <c r="F36" s="9">
        <v>100</v>
      </c>
      <c r="G36" s="64">
        <f>VLOOKUP(A36,'Relatório Vendas por Pedido'!$A$2:$G$252,7,FALSE)</f>
        <v>88</v>
      </c>
      <c r="H36" t="str">
        <f t="shared" si="0"/>
        <v>ERRO</v>
      </c>
      <c r="I36" s="64">
        <v>12</v>
      </c>
      <c r="J36" t="s">
        <v>407</v>
      </c>
    </row>
    <row r="37" spans="1:10" ht="15.75" thickBot="1" x14ac:dyDescent="0.3">
      <c r="A37" s="8">
        <v>19817</v>
      </c>
      <c r="B37" s="61">
        <v>14666</v>
      </c>
      <c r="C37" s="6">
        <v>36</v>
      </c>
      <c r="D37" s="7" t="s">
        <v>49</v>
      </c>
      <c r="E37" s="7" t="s">
        <v>54</v>
      </c>
      <c r="F37" s="9">
        <v>105</v>
      </c>
      <c r="G37" s="64">
        <f>VLOOKUP(A37,'Relatório Vendas por Pedido'!$A$2:$G$252,7,FALSE)</f>
        <v>91</v>
      </c>
      <c r="H37" t="str">
        <f t="shared" si="0"/>
        <v>ERRO</v>
      </c>
      <c r="I37" s="64">
        <v>14</v>
      </c>
      <c r="J37" t="s">
        <v>407</v>
      </c>
    </row>
    <row r="38" spans="1:10" ht="15.75" thickBot="1" x14ac:dyDescent="0.3">
      <c r="A38" s="8">
        <v>19862</v>
      </c>
      <c r="B38" s="61">
        <v>14690</v>
      </c>
      <c r="C38" s="6">
        <v>37</v>
      </c>
      <c r="D38" s="7" t="s">
        <v>49</v>
      </c>
      <c r="E38" s="7" t="s">
        <v>55</v>
      </c>
      <c r="F38" s="9">
        <v>100</v>
      </c>
      <c r="G38" s="64">
        <f>VLOOKUP(A38,'Relatório Vendas por Pedido'!$A$2:$G$252,7,FALSE)</f>
        <v>84</v>
      </c>
      <c r="H38" t="str">
        <f t="shared" si="0"/>
        <v>ERRO</v>
      </c>
      <c r="I38" s="64">
        <v>16</v>
      </c>
      <c r="J38" t="s">
        <v>407</v>
      </c>
    </row>
    <row r="39" spans="1:10" ht="15.75" thickBot="1" x14ac:dyDescent="0.3">
      <c r="A39" s="8">
        <v>19902</v>
      </c>
      <c r="B39" s="61">
        <v>14715</v>
      </c>
      <c r="C39" s="6">
        <v>38</v>
      </c>
      <c r="D39" s="7" t="s">
        <v>49</v>
      </c>
      <c r="E39" s="7" t="s">
        <v>56</v>
      </c>
      <c r="F39" s="9">
        <v>104</v>
      </c>
      <c r="G39" s="64">
        <f>VLOOKUP(A39,'Relatório Vendas por Pedido'!$A$2:$G$252,7,FALSE)</f>
        <v>90</v>
      </c>
      <c r="H39" t="str">
        <f t="shared" si="0"/>
        <v>ERRO</v>
      </c>
      <c r="I39" s="64">
        <v>14</v>
      </c>
      <c r="J39" t="s">
        <v>407</v>
      </c>
    </row>
    <row r="40" spans="1:10" ht="15.75" thickBot="1" x14ac:dyDescent="0.3">
      <c r="A40" s="8">
        <v>19674</v>
      </c>
      <c r="B40" s="61">
        <v>14609</v>
      </c>
      <c r="C40" s="6">
        <v>39</v>
      </c>
      <c r="D40" s="7" t="s">
        <v>57</v>
      </c>
      <c r="E40" s="7" t="s">
        <v>58</v>
      </c>
      <c r="F40" s="9">
        <v>120</v>
      </c>
      <c r="G40" s="64">
        <f>VLOOKUP(A40,'Relatório Vendas por Pedido'!$A$2:$G$252,7,FALSE)</f>
        <v>120</v>
      </c>
      <c r="H40" t="str">
        <f t="shared" si="0"/>
        <v>OK</v>
      </c>
      <c r="I40" s="64" t="s">
        <v>411</v>
      </c>
    </row>
    <row r="41" spans="1:10" ht="15.75" thickBot="1" x14ac:dyDescent="0.3">
      <c r="A41" s="8">
        <v>19841</v>
      </c>
      <c r="B41" s="61">
        <v>4934</v>
      </c>
      <c r="C41" s="6">
        <v>40</v>
      </c>
      <c r="D41" s="7" t="s">
        <v>59</v>
      </c>
      <c r="E41" s="7" t="s">
        <v>60</v>
      </c>
      <c r="F41" s="9">
        <v>2298.7199999999998</v>
      </c>
      <c r="G41" s="64">
        <f>VLOOKUP(A41,'Relatório Vendas por Pedido'!$A$2:$G$252,7,FALSE)</f>
        <v>2298.7199999999998</v>
      </c>
      <c r="H41" t="str">
        <f t="shared" si="0"/>
        <v>OK</v>
      </c>
      <c r="I41" s="64" t="s">
        <v>411</v>
      </c>
    </row>
    <row r="42" spans="1:10" ht="15.75" thickBot="1" x14ac:dyDescent="0.3">
      <c r="A42" s="8">
        <v>19910</v>
      </c>
      <c r="B42" s="61">
        <v>4933</v>
      </c>
      <c r="C42" s="6">
        <v>41</v>
      </c>
      <c r="D42" s="7" t="s">
        <v>59</v>
      </c>
      <c r="E42" s="7" t="s">
        <v>61</v>
      </c>
      <c r="F42" s="9">
        <v>221.8</v>
      </c>
      <c r="G42" s="64">
        <f>VLOOKUP(A42,'Relatório Vendas por Pedido'!$A$2:$G$252,7,FALSE)</f>
        <v>221.8</v>
      </c>
      <c r="H42" t="str">
        <f t="shared" si="0"/>
        <v>OK</v>
      </c>
      <c r="I42" s="64" t="s">
        <v>411</v>
      </c>
    </row>
    <row r="43" spans="1:10" ht="15.75" thickBot="1" x14ac:dyDescent="0.3">
      <c r="A43" s="8">
        <v>19730</v>
      </c>
      <c r="B43" s="61">
        <v>4903</v>
      </c>
      <c r="C43" s="6">
        <v>42</v>
      </c>
      <c r="D43" s="7" t="s">
        <v>62</v>
      </c>
      <c r="E43" s="7" t="s">
        <v>63</v>
      </c>
      <c r="F43" s="9">
        <v>1484.59</v>
      </c>
      <c r="G43" s="64">
        <f>VLOOKUP(A43,'Relatório Vendas por Pedido'!$A$2:$G$252,7,FALSE)</f>
        <v>1484.59</v>
      </c>
      <c r="H43" t="str">
        <f t="shared" si="0"/>
        <v>OK</v>
      </c>
      <c r="I43" s="64" t="s">
        <v>411</v>
      </c>
    </row>
    <row r="44" spans="1:10" ht="15.75" thickBot="1" x14ac:dyDescent="0.3">
      <c r="A44" s="8">
        <v>19780</v>
      </c>
      <c r="B44" s="61">
        <v>14636</v>
      </c>
      <c r="C44" s="6">
        <v>43</v>
      </c>
      <c r="D44" s="7" t="s">
        <v>64</v>
      </c>
      <c r="E44" s="7" t="s">
        <v>65</v>
      </c>
      <c r="F44" s="9">
        <v>485.84</v>
      </c>
      <c r="G44" s="64">
        <f>VLOOKUP(A44,'Relatório Vendas por Pedido'!$A$2:$G$252,7,FALSE)</f>
        <v>485.84</v>
      </c>
      <c r="H44" t="str">
        <f t="shared" si="0"/>
        <v>OK</v>
      </c>
      <c r="I44" s="64" t="s">
        <v>411</v>
      </c>
    </row>
    <row r="45" spans="1:10" ht="15.75" thickBot="1" x14ac:dyDescent="0.3">
      <c r="A45" s="8">
        <v>19576</v>
      </c>
      <c r="B45" s="61">
        <v>4914</v>
      </c>
      <c r="C45" s="6">
        <v>44</v>
      </c>
      <c r="D45" s="7" t="s">
        <v>66</v>
      </c>
      <c r="E45" s="7" t="s">
        <v>67</v>
      </c>
      <c r="F45" s="9">
        <v>1670.37</v>
      </c>
      <c r="G45" s="64">
        <f>VLOOKUP(A45,'Relatório Vendas por Pedido'!$A$2:$G$252,7,FALSE)</f>
        <v>1670.37</v>
      </c>
      <c r="H45" t="str">
        <f t="shared" si="0"/>
        <v>OK</v>
      </c>
      <c r="I45" s="64" t="s">
        <v>411</v>
      </c>
    </row>
    <row r="46" spans="1:10" ht="15.75" thickBot="1" x14ac:dyDescent="0.3">
      <c r="A46" s="8">
        <v>19774</v>
      </c>
      <c r="B46" s="61">
        <v>14632</v>
      </c>
      <c r="C46" s="6">
        <v>45</v>
      </c>
      <c r="D46" s="7" t="s">
        <v>68</v>
      </c>
      <c r="E46" s="7" t="s">
        <v>69</v>
      </c>
      <c r="F46" s="9">
        <v>70</v>
      </c>
      <c r="G46" s="64">
        <f>VLOOKUP(A46,'Relatório Vendas por Pedido'!$A$2:$G$252,7,FALSE)</f>
        <v>70</v>
      </c>
      <c r="H46" t="str">
        <f t="shared" si="0"/>
        <v>OK</v>
      </c>
      <c r="I46" s="64" t="s">
        <v>411</v>
      </c>
    </row>
    <row r="47" spans="1:10" ht="15.75" thickBot="1" x14ac:dyDescent="0.3">
      <c r="A47" s="8">
        <v>19642</v>
      </c>
      <c r="B47" s="61">
        <v>14540</v>
      </c>
      <c r="C47" s="6">
        <v>46</v>
      </c>
      <c r="D47" s="7" t="s">
        <v>70</v>
      </c>
      <c r="E47" s="7" t="s">
        <v>71</v>
      </c>
      <c r="F47" s="9">
        <v>347</v>
      </c>
      <c r="G47" s="64">
        <f>VLOOKUP(A47,'Relatório Vendas por Pedido'!$A$2:$G$252,7,FALSE)</f>
        <v>336</v>
      </c>
      <c r="H47" t="str">
        <f t="shared" si="0"/>
        <v>ERRO</v>
      </c>
      <c r="I47" s="64">
        <v>11</v>
      </c>
      <c r="J47" t="s">
        <v>407</v>
      </c>
    </row>
    <row r="48" spans="1:10" ht="15.75" thickBot="1" x14ac:dyDescent="0.3">
      <c r="A48" s="8">
        <v>19644</v>
      </c>
      <c r="B48" s="61">
        <v>14537</v>
      </c>
      <c r="C48" s="6">
        <v>47</v>
      </c>
      <c r="D48" s="7" t="s">
        <v>70</v>
      </c>
      <c r="E48" s="7" t="s">
        <v>72</v>
      </c>
      <c r="F48" s="9">
        <v>80</v>
      </c>
      <c r="G48" s="64">
        <f>VLOOKUP(A48,'Relatório Vendas por Pedido'!$A$2:$G$252,7,FALSE)</f>
        <v>80</v>
      </c>
      <c r="H48" t="str">
        <f t="shared" si="0"/>
        <v>OK</v>
      </c>
      <c r="I48" s="64" t="s">
        <v>411</v>
      </c>
    </row>
    <row r="49" spans="1:10" ht="15.75" thickBot="1" x14ac:dyDescent="0.3">
      <c r="A49" s="8">
        <v>19646</v>
      </c>
      <c r="B49" s="61">
        <v>14542</v>
      </c>
      <c r="C49" s="6">
        <v>48</v>
      </c>
      <c r="D49" s="7" t="s">
        <v>70</v>
      </c>
      <c r="E49" s="7" t="s">
        <v>73</v>
      </c>
      <c r="F49" s="9">
        <v>140</v>
      </c>
      <c r="G49" s="64">
        <f>VLOOKUP(A49,'Relatório Vendas por Pedido'!$A$2:$G$252,7,FALSE)</f>
        <v>140</v>
      </c>
      <c r="H49" t="str">
        <f t="shared" si="0"/>
        <v>OK</v>
      </c>
      <c r="I49" s="64" t="s">
        <v>411</v>
      </c>
    </row>
    <row r="50" spans="1:10" ht="15.75" thickBot="1" x14ac:dyDescent="0.3">
      <c r="A50" s="8">
        <v>19654</v>
      </c>
      <c r="B50" s="61">
        <v>14545</v>
      </c>
      <c r="C50" s="6">
        <v>49</v>
      </c>
      <c r="D50" s="7" t="s">
        <v>70</v>
      </c>
      <c r="E50" s="7" t="s">
        <v>74</v>
      </c>
      <c r="F50" s="9">
        <v>40</v>
      </c>
      <c r="G50" s="64">
        <f>VLOOKUP(A50,'Relatório Vendas por Pedido'!$A$2:$G$252,7,FALSE)</f>
        <v>40</v>
      </c>
      <c r="H50" t="str">
        <f t="shared" si="0"/>
        <v>OK</v>
      </c>
      <c r="I50" s="64" t="s">
        <v>411</v>
      </c>
    </row>
    <row r="51" spans="1:10" ht="15.75" thickBot="1" x14ac:dyDescent="0.3">
      <c r="A51" s="8">
        <v>19655</v>
      </c>
      <c r="B51" s="61">
        <v>14546</v>
      </c>
      <c r="C51" s="6">
        <v>50</v>
      </c>
      <c r="D51" s="7" t="s">
        <v>70</v>
      </c>
      <c r="E51" s="7" t="s">
        <v>75</v>
      </c>
      <c r="F51" s="9">
        <v>160</v>
      </c>
      <c r="G51" s="64">
        <f>VLOOKUP(A51,'Relatório Vendas por Pedido'!$A$2:$G$252,7,FALSE)</f>
        <v>160</v>
      </c>
      <c r="H51" t="str">
        <f t="shared" si="0"/>
        <v>OK</v>
      </c>
      <c r="I51" s="64" t="s">
        <v>411</v>
      </c>
    </row>
    <row r="52" spans="1:10" ht="15.75" thickBot="1" x14ac:dyDescent="0.3">
      <c r="A52" s="8">
        <v>19656</v>
      </c>
      <c r="B52" s="61">
        <v>14547</v>
      </c>
      <c r="C52" s="6">
        <v>51</v>
      </c>
      <c r="D52" s="7" t="s">
        <v>70</v>
      </c>
      <c r="E52" s="7" t="s">
        <v>76</v>
      </c>
      <c r="F52" s="9">
        <v>139.5</v>
      </c>
      <c r="G52" s="64">
        <f>VLOOKUP(A52,'Relatório Vendas por Pedido'!$A$2:$G$252,7,FALSE)</f>
        <v>139.5</v>
      </c>
      <c r="H52" t="str">
        <f t="shared" si="0"/>
        <v>OK</v>
      </c>
      <c r="I52" s="64" t="s">
        <v>411</v>
      </c>
    </row>
    <row r="53" spans="1:10" ht="15.75" thickBot="1" x14ac:dyDescent="0.3">
      <c r="A53" s="8">
        <v>19662</v>
      </c>
      <c r="B53" s="61">
        <v>14550</v>
      </c>
      <c r="C53" s="6">
        <v>52</v>
      </c>
      <c r="D53" s="7" t="s">
        <v>70</v>
      </c>
      <c r="E53" s="7" t="s">
        <v>77</v>
      </c>
      <c r="F53" s="9">
        <v>112</v>
      </c>
      <c r="G53" s="64">
        <f>VLOOKUP(A53,'Relatório Vendas por Pedido'!$A$2:$G$252,7,FALSE)</f>
        <v>112</v>
      </c>
      <c r="H53" t="str">
        <f t="shared" si="0"/>
        <v>OK</v>
      </c>
      <c r="I53" s="64" t="s">
        <v>411</v>
      </c>
    </row>
    <row r="54" spans="1:10" ht="15.75" thickBot="1" x14ac:dyDescent="0.3">
      <c r="A54" s="8">
        <v>19664</v>
      </c>
      <c r="B54" s="61">
        <v>14555</v>
      </c>
      <c r="C54" s="6">
        <v>53</v>
      </c>
      <c r="D54" s="7" t="s">
        <v>70</v>
      </c>
      <c r="E54" s="7" t="s">
        <v>78</v>
      </c>
      <c r="F54" s="9">
        <v>114</v>
      </c>
      <c r="G54" s="64">
        <f>VLOOKUP(A54,'Relatório Vendas por Pedido'!$A$2:$G$252,7,FALSE)</f>
        <v>114</v>
      </c>
      <c r="H54" t="str">
        <f t="shared" si="0"/>
        <v>OK</v>
      </c>
      <c r="I54" s="64" t="s">
        <v>411</v>
      </c>
    </row>
    <row r="55" spans="1:10" ht="15.75" thickBot="1" x14ac:dyDescent="0.3">
      <c r="A55" s="8">
        <v>19668</v>
      </c>
      <c r="B55" s="61">
        <v>14556</v>
      </c>
      <c r="C55" s="6">
        <v>54</v>
      </c>
      <c r="D55" s="7" t="s">
        <v>70</v>
      </c>
      <c r="E55" s="7" t="s">
        <v>79</v>
      </c>
      <c r="F55" s="9">
        <v>371</v>
      </c>
      <c r="G55" s="64">
        <f>VLOOKUP(A55,'Relatório Vendas por Pedido'!$A$2:$G$252,7,FALSE)</f>
        <v>371</v>
      </c>
      <c r="H55" t="str">
        <f t="shared" si="0"/>
        <v>OK</v>
      </c>
      <c r="I55" s="64" t="s">
        <v>411</v>
      </c>
    </row>
    <row r="56" spans="1:10" ht="15.75" thickBot="1" x14ac:dyDescent="0.3">
      <c r="A56" s="8">
        <v>19672</v>
      </c>
      <c r="B56" s="61">
        <v>14558</v>
      </c>
      <c r="C56" s="6">
        <v>55</v>
      </c>
      <c r="D56" s="7" t="s">
        <v>70</v>
      </c>
      <c r="E56" s="7" t="s">
        <v>80</v>
      </c>
      <c r="F56" s="9">
        <v>28.5</v>
      </c>
      <c r="G56" s="64">
        <f>VLOOKUP(A56,'Relatório Vendas por Pedido'!$A$2:$G$252,7,FALSE)</f>
        <v>28.5</v>
      </c>
      <c r="H56" t="str">
        <f t="shared" si="0"/>
        <v>OK</v>
      </c>
      <c r="I56" s="64" t="s">
        <v>411</v>
      </c>
    </row>
    <row r="57" spans="1:10" ht="15.75" thickBot="1" x14ac:dyDescent="0.3">
      <c r="A57" s="8">
        <v>19677</v>
      </c>
      <c r="B57" s="61">
        <v>14562</v>
      </c>
      <c r="C57" s="6">
        <v>56</v>
      </c>
      <c r="D57" s="7" t="s">
        <v>70</v>
      </c>
      <c r="E57" s="7" t="s">
        <v>81</v>
      </c>
      <c r="F57" s="9">
        <v>28</v>
      </c>
      <c r="G57" s="64">
        <f>VLOOKUP(A57,'Relatório Vendas por Pedido'!$A$2:$G$252,7,FALSE)</f>
        <v>28</v>
      </c>
      <c r="H57" t="str">
        <f t="shared" si="0"/>
        <v>OK</v>
      </c>
      <c r="I57" s="64" t="s">
        <v>411</v>
      </c>
    </row>
    <row r="58" spans="1:10" ht="15.75" thickBot="1" x14ac:dyDescent="0.3">
      <c r="A58" s="8">
        <v>19681</v>
      </c>
      <c r="B58" s="61">
        <v>14563</v>
      </c>
      <c r="C58" s="6">
        <v>57</v>
      </c>
      <c r="D58" s="7" t="s">
        <v>70</v>
      </c>
      <c r="E58" s="7" t="s">
        <v>82</v>
      </c>
      <c r="F58" s="9">
        <v>295.83</v>
      </c>
      <c r="G58" s="64">
        <f>VLOOKUP(A58,'Relatório Vendas por Pedido'!$A$2:$G$252,7,FALSE)</f>
        <v>285.83</v>
      </c>
      <c r="H58" t="str">
        <f t="shared" si="0"/>
        <v>ERRO</v>
      </c>
      <c r="I58" s="64">
        <v>10</v>
      </c>
      <c r="J58" t="s">
        <v>407</v>
      </c>
    </row>
    <row r="59" spans="1:10" ht="15.75" thickBot="1" x14ac:dyDescent="0.3">
      <c r="A59" s="8">
        <v>19683</v>
      </c>
      <c r="B59" s="61">
        <v>14565</v>
      </c>
      <c r="C59" s="6">
        <v>58</v>
      </c>
      <c r="D59" s="7" t="s">
        <v>70</v>
      </c>
      <c r="E59" s="7" t="s">
        <v>83</v>
      </c>
      <c r="F59" s="9">
        <v>20</v>
      </c>
      <c r="G59" s="64">
        <f>VLOOKUP(A59,'Relatório Vendas por Pedido'!$A$2:$G$252,7,FALSE)</f>
        <v>20</v>
      </c>
      <c r="H59" t="str">
        <f t="shared" si="0"/>
        <v>OK</v>
      </c>
      <c r="I59" s="64" t="s">
        <v>411</v>
      </c>
    </row>
    <row r="60" spans="1:10" ht="15.75" thickBot="1" x14ac:dyDescent="0.3">
      <c r="A60" s="8">
        <v>19690</v>
      </c>
      <c r="B60" s="61">
        <v>14568</v>
      </c>
      <c r="C60" s="6">
        <v>59</v>
      </c>
      <c r="D60" s="7" t="s">
        <v>70</v>
      </c>
      <c r="E60" s="7" t="s">
        <v>84</v>
      </c>
      <c r="F60" s="9">
        <v>270</v>
      </c>
      <c r="G60" s="64">
        <f>VLOOKUP(A60,'Relatório Vendas por Pedido'!$A$2:$G$252,7,FALSE)</f>
        <v>270</v>
      </c>
      <c r="H60" t="str">
        <f t="shared" si="0"/>
        <v>OK</v>
      </c>
      <c r="I60" s="64" t="s">
        <v>411</v>
      </c>
    </row>
    <row r="61" spans="1:10" ht="15.75" thickBot="1" x14ac:dyDescent="0.3">
      <c r="A61" s="8">
        <v>19698</v>
      </c>
      <c r="B61" s="61">
        <v>14574</v>
      </c>
      <c r="C61" s="6">
        <v>60</v>
      </c>
      <c r="D61" s="7" t="s">
        <v>70</v>
      </c>
      <c r="E61" s="7" t="s">
        <v>85</v>
      </c>
      <c r="F61" s="9">
        <v>127.75</v>
      </c>
      <c r="G61" s="64">
        <f>VLOOKUP(A61,'Relatório Vendas por Pedido'!$A$2:$G$252,7,FALSE)</f>
        <v>127.75</v>
      </c>
      <c r="H61" t="str">
        <f t="shared" si="0"/>
        <v>OK</v>
      </c>
      <c r="I61" s="64" t="s">
        <v>411</v>
      </c>
    </row>
    <row r="62" spans="1:10" ht="15.75" thickBot="1" x14ac:dyDescent="0.3">
      <c r="A62" s="8">
        <v>19703</v>
      </c>
      <c r="B62" s="61">
        <v>14578</v>
      </c>
      <c r="C62" s="6">
        <v>61</v>
      </c>
      <c r="D62" s="7" t="s">
        <v>70</v>
      </c>
      <c r="E62" s="7" t="s">
        <v>86</v>
      </c>
      <c r="F62" s="9">
        <v>240</v>
      </c>
      <c r="G62" s="64">
        <f>VLOOKUP(A62,'Relatório Vendas por Pedido'!$A$2:$G$252,7,FALSE)</f>
        <v>227.5</v>
      </c>
      <c r="H62" t="str">
        <f t="shared" si="0"/>
        <v>ERRO</v>
      </c>
      <c r="I62" s="64">
        <v>12.5</v>
      </c>
      <c r="J62" t="s">
        <v>407</v>
      </c>
    </row>
    <row r="63" spans="1:10" ht="15.75" thickBot="1" x14ac:dyDescent="0.3">
      <c r="A63" s="8">
        <v>19706</v>
      </c>
      <c r="B63" s="61">
        <v>14579</v>
      </c>
      <c r="C63" s="6">
        <v>62</v>
      </c>
      <c r="D63" s="7" t="s">
        <v>70</v>
      </c>
      <c r="E63" s="7" t="s">
        <v>87</v>
      </c>
      <c r="F63" s="9">
        <v>182</v>
      </c>
      <c r="G63" s="64">
        <f>VLOOKUP(A63,'Relatório Vendas por Pedido'!$A$2:$G$252,7,FALSE)</f>
        <v>182</v>
      </c>
      <c r="H63" t="str">
        <f t="shared" si="0"/>
        <v>OK</v>
      </c>
      <c r="I63" s="64" t="s">
        <v>411</v>
      </c>
    </row>
    <row r="64" spans="1:10" ht="15.75" thickBot="1" x14ac:dyDescent="0.3">
      <c r="A64" s="8">
        <v>19707</v>
      </c>
      <c r="B64" s="61">
        <v>14581</v>
      </c>
      <c r="C64" s="6">
        <v>63</v>
      </c>
      <c r="D64" s="7" t="s">
        <v>70</v>
      </c>
      <c r="E64" s="7" t="s">
        <v>88</v>
      </c>
      <c r="F64" s="9">
        <v>189</v>
      </c>
      <c r="G64" s="64">
        <f>VLOOKUP(A64,'Relatório Vendas por Pedido'!$A$2:$G$252,7,FALSE)</f>
        <v>189</v>
      </c>
      <c r="H64" t="str">
        <f t="shared" si="0"/>
        <v>OK</v>
      </c>
      <c r="I64" s="64" t="s">
        <v>411</v>
      </c>
    </row>
    <row r="65" spans="1:10" ht="15.75" thickBot="1" x14ac:dyDescent="0.3">
      <c r="A65" s="8">
        <v>19708</v>
      </c>
      <c r="B65" s="61">
        <v>14582</v>
      </c>
      <c r="C65" s="6">
        <v>64</v>
      </c>
      <c r="D65" s="7" t="s">
        <v>70</v>
      </c>
      <c r="E65" s="7" t="s">
        <v>89</v>
      </c>
      <c r="F65" s="9">
        <v>198.5</v>
      </c>
      <c r="G65" s="64">
        <f>VLOOKUP(A65,'Relatório Vendas por Pedido'!$A$2:$G$252,7,FALSE)</f>
        <v>188.5</v>
      </c>
      <c r="H65" t="str">
        <f t="shared" si="0"/>
        <v>ERRO</v>
      </c>
      <c r="I65" s="64">
        <v>10</v>
      </c>
      <c r="J65" t="s">
        <v>407</v>
      </c>
    </row>
    <row r="66" spans="1:10" ht="15.75" thickBot="1" x14ac:dyDescent="0.3">
      <c r="A66" s="8">
        <v>19712</v>
      </c>
      <c r="B66" s="61">
        <v>14591</v>
      </c>
      <c r="C66" s="6">
        <v>65</v>
      </c>
      <c r="D66" s="7" t="s">
        <v>70</v>
      </c>
      <c r="E66" s="7" t="s">
        <v>90</v>
      </c>
      <c r="F66" s="9">
        <v>613</v>
      </c>
      <c r="G66" s="64">
        <f>VLOOKUP(A66,'Relatório Vendas por Pedido'!$A$2:$G$252,7,FALSE)</f>
        <v>600</v>
      </c>
      <c r="H66" t="str">
        <f t="shared" si="0"/>
        <v>ERRO</v>
      </c>
      <c r="I66" s="64">
        <v>13</v>
      </c>
      <c r="J66" t="s">
        <v>407</v>
      </c>
    </row>
    <row r="67" spans="1:10" ht="15.75" thickBot="1" x14ac:dyDescent="0.3">
      <c r="A67" s="8">
        <v>19716</v>
      </c>
      <c r="B67" s="61">
        <v>14589</v>
      </c>
      <c r="C67" s="6">
        <v>66</v>
      </c>
      <c r="D67" s="7" t="s">
        <v>70</v>
      </c>
      <c r="E67" s="7" t="s">
        <v>91</v>
      </c>
      <c r="F67" s="9">
        <v>273</v>
      </c>
      <c r="G67" s="64">
        <f>VLOOKUP(A67,'Relatório Vendas por Pedido'!$A$2:$G$252,7,FALSE)</f>
        <v>273</v>
      </c>
      <c r="H67" t="str">
        <f t="shared" ref="H67:H130" si="1">IF(G67=F67,"OK","ERRO")</f>
        <v>OK</v>
      </c>
      <c r="I67" s="64" t="s">
        <v>411</v>
      </c>
    </row>
    <row r="68" spans="1:10" ht="15.75" thickBot="1" x14ac:dyDescent="0.3">
      <c r="A68" s="8">
        <v>19721</v>
      </c>
      <c r="B68" s="61">
        <v>14593</v>
      </c>
      <c r="C68" s="6">
        <v>67</v>
      </c>
      <c r="D68" s="7" t="s">
        <v>70</v>
      </c>
      <c r="E68" s="7" t="s">
        <v>92</v>
      </c>
      <c r="F68" s="9">
        <v>203</v>
      </c>
      <c r="G68" s="64">
        <f>VLOOKUP(A68,'Relatório Vendas por Pedido'!$A$2:$G$252,7,FALSE)</f>
        <v>203</v>
      </c>
      <c r="H68" t="str">
        <f t="shared" si="1"/>
        <v>OK</v>
      </c>
      <c r="I68" s="64" t="s">
        <v>411</v>
      </c>
    </row>
    <row r="69" spans="1:10" ht="15.75" thickBot="1" x14ac:dyDescent="0.3">
      <c r="A69" s="8">
        <v>19723</v>
      </c>
      <c r="B69" s="61">
        <v>14594</v>
      </c>
      <c r="C69" s="6">
        <v>68</v>
      </c>
      <c r="D69" s="7" t="s">
        <v>70</v>
      </c>
      <c r="E69" s="7" t="s">
        <v>93</v>
      </c>
      <c r="F69" s="9">
        <v>143.6</v>
      </c>
      <c r="G69" s="64">
        <f>VLOOKUP(A69,'Relatório Vendas por Pedido'!$A$2:$G$252,7,FALSE)</f>
        <v>143.6</v>
      </c>
      <c r="H69" t="str">
        <f t="shared" si="1"/>
        <v>OK</v>
      </c>
      <c r="I69" s="64" t="s">
        <v>411</v>
      </c>
    </row>
    <row r="70" spans="1:10" ht="15.75" thickBot="1" x14ac:dyDescent="0.3">
      <c r="A70" s="8">
        <v>19724</v>
      </c>
      <c r="B70" s="61">
        <v>14596</v>
      </c>
      <c r="C70" s="6">
        <v>69</v>
      </c>
      <c r="D70" s="7" t="s">
        <v>70</v>
      </c>
      <c r="E70" s="7" t="s">
        <v>94</v>
      </c>
      <c r="F70" s="9">
        <v>85.22</v>
      </c>
      <c r="G70" s="64">
        <f>VLOOKUP(A70,'Relatório Vendas por Pedido'!$A$2:$G$252,7,FALSE)</f>
        <v>85.22</v>
      </c>
      <c r="H70" t="str">
        <f t="shared" si="1"/>
        <v>OK</v>
      </c>
      <c r="I70" s="64" t="s">
        <v>411</v>
      </c>
    </row>
    <row r="71" spans="1:10" ht="15.75" thickBot="1" x14ac:dyDescent="0.3">
      <c r="A71" s="8">
        <v>19726</v>
      </c>
      <c r="B71" s="61">
        <v>14597</v>
      </c>
      <c r="C71" s="6">
        <v>70</v>
      </c>
      <c r="D71" s="7" t="s">
        <v>70</v>
      </c>
      <c r="E71" s="7" t="s">
        <v>95</v>
      </c>
      <c r="F71" s="9">
        <v>90</v>
      </c>
      <c r="G71" s="64">
        <f>VLOOKUP(A71,'Relatório Vendas por Pedido'!$A$2:$G$252,7,FALSE)</f>
        <v>90</v>
      </c>
      <c r="H71" t="str">
        <f t="shared" si="1"/>
        <v>OK</v>
      </c>
      <c r="I71" s="64" t="s">
        <v>411</v>
      </c>
    </row>
    <row r="72" spans="1:10" ht="15.75" thickBot="1" x14ac:dyDescent="0.3">
      <c r="A72" s="8">
        <v>19728</v>
      </c>
      <c r="B72" s="61">
        <v>14599</v>
      </c>
      <c r="C72" s="6">
        <v>71</v>
      </c>
      <c r="D72" s="7" t="s">
        <v>70</v>
      </c>
      <c r="E72" s="7" t="s">
        <v>96</v>
      </c>
      <c r="F72" s="9">
        <v>91</v>
      </c>
      <c r="G72" s="64">
        <f>VLOOKUP(A72,'Relatório Vendas por Pedido'!$A$2:$G$252,7,FALSE)</f>
        <v>91</v>
      </c>
      <c r="H72" t="str">
        <f t="shared" si="1"/>
        <v>OK</v>
      </c>
      <c r="I72" s="64" t="s">
        <v>411</v>
      </c>
    </row>
    <row r="73" spans="1:10" ht="15.75" thickBot="1" x14ac:dyDescent="0.3">
      <c r="A73" s="8">
        <v>19732</v>
      </c>
      <c r="B73" s="61">
        <v>14601</v>
      </c>
      <c r="C73" s="6">
        <v>72</v>
      </c>
      <c r="D73" s="7" t="s">
        <v>70</v>
      </c>
      <c r="E73" s="7" t="s">
        <v>97</v>
      </c>
      <c r="F73" s="9">
        <v>102.06</v>
      </c>
      <c r="G73" s="64">
        <f>VLOOKUP(A73,'Relatório Vendas por Pedido'!$A$2:$G$252,7,FALSE)</f>
        <v>102.06</v>
      </c>
      <c r="H73" t="str">
        <f t="shared" si="1"/>
        <v>OK</v>
      </c>
      <c r="I73" s="64" t="s">
        <v>411</v>
      </c>
    </row>
    <row r="74" spans="1:10" ht="15.75" thickBot="1" x14ac:dyDescent="0.3">
      <c r="A74" s="8">
        <v>19733</v>
      </c>
      <c r="B74" s="61">
        <v>14602</v>
      </c>
      <c r="C74" s="6">
        <v>73</v>
      </c>
      <c r="D74" s="7" t="s">
        <v>70</v>
      </c>
      <c r="E74" s="7" t="s">
        <v>98</v>
      </c>
      <c r="F74" s="9">
        <v>120</v>
      </c>
      <c r="G74" s="64">
        <f>VLOOKUP(A74,'Relatório Vendas por Pedido'!$A$2:$G$252,7,FALSE)</f>
        <v>120</v>
      </c>
      <c r="H74" t="str">
        <f t="shared" si="1"/>
        <v>OK</v>
      </c>
      <c r="I74" s="64" t="s">
        <v>411</v>
      </c>
    </row>
    <row r="75" spans="1:10" ht="15.75" thickBot="1" x14ac:dyDescent="0.3">
      <c r="A75" s="8">
        <v>19734</v>
      </c>
      <c r="B75" s="61">
        <v>14603</v>
      </c>
      <c r="C75" s="6">
        <v>74</v>
      </c>
      <c r="D75" s="7" t="s">
        <v>70</v>
      </c>
      <c r="E75" s="7" t="s">
        <v>99</v>
      </c>
      <c r="F75" s="9">
        <v>280</v>
      </c>
      <c r="G75" s="64">
        <f>VLOOKUP(A75,'Relatório Vendas por Pedido'!$A$2:$G$252,7,FALSE)</f>
        <v>280</v>
      </c>
      <c r="H75" t="str">
        <f t="shared" si="1"/>
        <v>OK</v>
      </c>
      <c r="I75" s="64" t="s">
        <v>411</v>
      </c>
    </row>
    <row r="76" spans="1:10" ht="15.75" thickBot="1" x14ac:dyDescent="0.3">
      <c r="A76" s="8">
        <v>19737</v>
      </c>
      <c r="B76" s="61">
        <v>14606</v>
      </c>
      <c r="C76" s="6">
        <v>75</v>
      </c>
      <c r="D76" s="7" t="s">
        <v>70</v>
      </c>
      <c r="E76" s="7" t="s">
        <v>100</v>
      </c>
      <c r="F76" s="9">
        <v>144.22</v>
      </c>
      <c r="G76" s="64">
        <f>VLOOKUP(A76,'Relatório Vendas por Pedido'!$A$2:$G$252,7,FALSE)</f>
        <v>144.22</v>
      </c>
      <c r="H76" t="str">
        <f t="shared" si="1"/>
        <v>OK</v>
      </c>
      <c r="I76" s="64" t="s">
        <v>411</v>
      </c>
    </row>
    <row r="77" spans="1:10" ht="15.75" thickBot="1" x14ac:dyDescent="0.3">
      <c r="A77" s="8">
        <v>19738</v>
      </c>
      <c r="B77" s="61">
        <v>14607</v>
      </c>
      <c r="C77" s="6">
        <v>76</v>
      </c>
      <c r="D77" s="7" t="s">
        <v>70</v>
      </c>
      <c r="E77" s="7" t="s">
        <v>101</v>
      </c>
      <c r="F77" s="9">
        <v>73</v>
      </c>
      <c r="G77" s="64">
        <f>VLOOKUP(A77,'Relatório Vendas por Pedido'!$A$2:$G$252,7,FALSE)</f>
        <v>73</v>
      </c>
      <c r="H77" t="str">
        <f t="shared" si="1"/>
        <v>OK</v>
      </c>
      <c r="I77" s="64" t="s">
        <v>411</v>
      </c>
    </row>
    <row r="78" spans="1:10" ht="15.75" thickBot="1" x14ac:dyDescent="0.3">
      <c r="A78" s="8">
        <v>19739</v>
      </c>
      <c r="B78" s="61">
        <v>14608</v>
      </c>
      <c r="C78" s="6">
        <v>77</v>
      </c>
      <c r="D78" s="7" t="s">
        <v>70</v>
      </c>
      <c r="E78" s="7" t="s">
        <v>102</v>
      </c>
      <c r="F78" s="9">
        <v>135</v>
      </c>
      <c r="G78" s="64">
        <f>VLOOKUP(A78,'Relatório Vendas por Pedido'!$A$2:$G$252,7,FALSE)</f>
        <v>135</v>
      </c>
      <c r="H78" t="str">
        <f t="shared" si="1"/>
        <v>OK</v>
      </c>
      <c r="I78" s="64" t="s">
        <v>411</v>
      </c>
    </row>
    <row r="79" spans="1:10" ht="15.75" thickBot="1" x14ac:dyDescent="0.3">
      <c r="A79" s="8">
        <v>19740</v>
      </c>
      <c r="B79" s="61">
        <v>14610</v>
      </c>
      <c r="C79" s="6">
        <v>78</v>
      </c>
      <c r="D79" s="7" t="s">
        <v>70</v>
      </c>
      <c r="E79" s="7" t="s">
        <v>103</v>
      </c>
      <c r="F79" s="9">
        <v>10</v>
      </c>
      <c r="G79" s="64">
        <f>VLOOKUP(A79,'Relatório Vendas por Pedido'!$A$2:$G$252,7,FALSE)</f>
        <v>10</v>
      </c>
      <c r="H79" t="str">
        <f t="shared" si="1"/>
        <v>OK</v>
      </c>
      <c r="I79" s="64" t="s">
        <v>411</v>
      </c>
    </row>
    <row r="80" spans="1:10" ht="15.75" thickBot="1" x14ac:dyDescent="0.3">
      <c r="A80" s="8">
        <v>19741</v>
      </c>
      <c r="B80" s="61">
        <v>14611</v>
      </c>
      <c r="C80" s="6">
        <v>79</v>
      </c>
      <c r="D80" s="7" t="s">
        <v>70</v>
      </c>
      <c r="E80" s="7" t="s">
        <v>104</v>
      </c>
      <c r="F80" s="9">
        <v>104.5</v>
      </c>
      <c r="G80" s="64">
        <f>VLOOKUP(A80,'Relatório Vendas por Pedido'!$A$2:$G$252,7,FALSE)</f>
        <v>104.5</v>
      </c>
      <c r="H80" t="str">
        <f t="shared" si="1"/>
        <v>OK</v>
      </c>
      <c r="I80" s="64" t="s">
        <v>411</v>
      </c>
    </row>
    <row r="81" spans="1:10" ht="15.75" thickBot="1" x14ac:dyDescent="0.3">
      <c r="A81" s="8">
        <v>19746</v>
      </c>
      <c r="B81" s="61">
        <v>14613</v>
      </c>
      <c r="C81" s="6">
        <v>80</v>
      </c>
      <c r="D81" s="7" t="s">
        <v>70</v>
      </c>
      <c r="E81" s="7" t="s">
        <v>105</v>
      </c>
      <c r="F81" s="9">
        <v>123</v>
      </c>
      <c r="G81" s="64">
        <f>VLOOKUP(A81,'Relatório Vendas por Pedido'!$A$2:$G$252,7,FALSE)</f>
        <v>110</v>
      </c>
      <c r="H81" t="str">
        <f t="shared" si="1"/>
        <v>ERRO</v>
      </c>
      <c r="I81" s="64">
        <v>13</v>
      </c>
      <c r="J81" t="s">
        <v>407</v>
      </c>
    </row>
    <row r="82" spans="1:10" ht="15.75" thickBot="1" x14ac:dyDescent="0.3">
      <c r="A82" s="8">
        <v>19747</v>
      </c>
      <c r="B82" s="61">
        <v>14614</v>
      </c>
      <c r="C82" s="6">
        <v>81</v>
      </c>
      <c r="D82" s="7" t="s">
        <v>70</v>
      </c>
      <c r="E82" s="7" t="s">
        <v>106</v>
      </c>
      <c r="F82" s="9">
        <v>182</v>
      </c>
      <c r="G82" s="64">
        <f>VLOOKUP(A82,'Relatório Vendas por Pedido'!$A$2:$G$252,7,FALSE)</f>
        <v>182</v>
      </c>
      <c r="H82" t="str">
        <f t="shared" si="1"/>
        <v>OK</v>
      </c>
      <c r="I82" s="64" t="s">
        <v>411</v>
      </c>
    </row>
    <row r="83" spans="1:10" ht="15.75" thickBot="1" x14ac:dyDescent="0.3">
      <c r="A83" s="8">
        <v>19752</v>
      </c>
      <c r="B83" s="61">
        <v>14616</v>
      </c>
      <c r="C83" s="6">
        <v>82</v>
      </c>
      <c r="D83" s="7" t="s">
        <v>70</v>
      </c>
      <c r="E83" s="7" t="s">
        <v>107</v>
      </c>
      <c r="F83" s="9">
        <v>345</v>
      </c>
      <c r="G83" s="64">
        <f>VLOOKUP(A83,'Relatório Vendas por Pedido'!$A$2:$G$252,7,FALSE)</f>
        <v>336</v>
      </c>
      <c r="H83" t="str">
        <f t="shared" si="1"/>
        <v>ERRO</v>
      </c>
      <c r="I83" s="64">
        <v>9</v>
      </c>
      <c r="J83" t="s">
        <v>407</v>
      </c>
    </row>
    <row r="84" spans="1:10" ht="15.75" thickBot="1" x14ac:dyDescent="0.3">
      <c r="A84" s="8">
        <v>19754</v>
      </c>
      <c r="B84" s="61">
        <v>14620</v>
      </c>
      <c r="C84" s="6">
        <v>83</v>
      </c>
      <c r="D84" s="7" t="s">
        <v>70</v>
      </c>
      <c r="E84" s="7" t="s">
        <v>108</v>
      </c>
      <c r="F84" s="9">
        <v>180</v>
      </c>
      <c r="G84" s="64">
        <f>VLOOKUP(A84,'Relatório Vendas por Pedido'!$A$2:$G$252,7,FALSE)</f>
        <v>180</v>
      </c>
      <c r="H84" t="str">
        <f t="shared" si="1"/>
        <v>OK</v>
      </c>
      <c r="I84" s="64" t="s">
        <v>411</v>
      </c>
    </row>
    <row r="85" spans="1:10" ht="15.75" thickBot="1" x14ac:dyDescent="0.3">
      <c r="A85" s="8">
        <v>19758</v>
      </c>
      <c r="B85" s="61">
        <v>14621</v>
      </c>
      <c r="C85" s="6">
        <v>84</v>
      </c>
      <c r="D85" s="7" t="s">
        <v>70</v>
      </c>
      <c r="E85" s="7" t="s">
        <v>109</v>
      </c>
      <c r="F85" s="9">
        <v>136.5</v>
      </c>
      <c r="G85" s="64">
        <f>VLOOKUP(A85,'Relatório Vendas por Pedido'!$A$2:$G$252,7,FALSE)</f>
        <v>136.5</v>
      </c>
      <c r="H85" t="str">
        <f t="shared" si="1"/>
        <v>OK</v>
      </c>
      <c r="I85" s="64" t="s">
        <v>411</v>
      </c>
    </row>
    <row r="86" spans="1:10" ht="15.75" thickBot="1" x14ac:dyDescent="0.3">
      <c r="A86" s="8">
        <v>19759</v>
      </c>
      <c r="B86" s="61">
        <v>14622</v>
      </c>
      <c r="C86" s="6">
        <v>85</v>
      </c>
      <c r="D86" s="7" t="s">
        <v>70</v>
      </c>
      <c r="E86" s="7" t="s">
        <v>110</v>
      </c>
      <c r="F86" s="9">
        <v>53.5</v>
      </c>
      <c r="G86" s="64">
        <f>VLOOKUP(A86,'Relatório Vendas por Pedido'!$A$2:$G$252,7,FALSE)</f>
        <v>45.5</v>
      </c>
      <c r="H86" t="str">
        <f t="shared" si="1"/>
        <v>ERRO</v>
      </c>
      <c r="I86" s="64">
        <v>8</v>
      </c>
      <c r="J86" t="s">
        <v>407</v>
      </c>
    </row>
    <row r="87" spans="1:10" ht="15.75" thickBot="1" x14ac:dyDescent="0.3">
      <c r="A87" s="8">
        <v>19761</v>
      </c>
      <c r="B87" s="61">
        <v>14625</v>
      </c>
      <c r="C87" s="6">
        <v>86</v>
      </c>
      <c r="D87" s="7" t="s">
        <v>70</v>
      </c>
      <c r="E87" s="7" t="s">
        <v>111</v>
      </c>
      <c r="F87" s="9">
        <v>188.5</v>
      </c>
      <c r="G87" s="64">
        <f>VLOOKUP(A87,'Relatório Vendas por Pedido'!$A$2:$G$252,7,FALSE)</f>
        <v>176.5</v>
      </c>
      <c r="H87" t="str">
        <f t="shared" si="1"/>
        <v>ERRO</v>
      </c>
      <c r="I87" s="64">
        <v>12</v>
      </c>
      <c r="J87" t="s">
        <v>407</v>
      </c>
    </row>
    <row r="88" spans="1:10" ht="15.75" thickBot="1" x14ac:dyDescent="0.3">
      <c r="A88" s="8">
        <v>19762</v>
      </c>
      <c r="B88" s="61">
        <v>14626</v>
      </c>
      <c r="C88" s="6">
        <v>87</v>
      </c>
      <c r="D88" s="7" t="s">
        <v>70</v>
      </c>
      <c r="E88" s="7" t="s">
        <v>112</v>
      </c>
      <c r="F88" s="9">
        <v>182</v>
      </c>
      <c r="G88" s="64">
        <f>VLOOKUP(A88,'Relatório Vendas por Pedido'!$A$2:$G$252,7,FALSE)</f>
        <v>182</v>
      </c>
      <c r="H88" t="str">
        <f t="shared" si="1"/>
        <v>OK</v>
      </c>
      <c r="I88" s="64" t="s">
        <v>411</v>
      </c>
    </row>
    <row r="89" spans="1:10" ht="15.75" thickBot="1" x14ac:dyDescent="0.3">
      <c r="A89" s="8">
        <v>19769</v>
      </c>
      <c r="B89" s="61">
        <v>14634</v>
      </c>
      <c r="C89" s="6">
        <v>88</v>
      </c>
      <c r="D89" s="7" t="s">
        <v>70</v>
      </c>
      <c r="E89" s="7" t="s">
        <v>113</v>
      </c>
      <c r="F89" s="9">
        <v>387.96</v>
      </c>
      <c r="G89" s="64">
        <f>VLOOKUP(A89,'Relatório Vendas por Pedido'!$A$2:$G$252,7,FALSE)</f>
        <v>378.96</v>
      </c>
      <c r="H89" t="str">
        <f t="shared" si="1"/>
        <v>ERRO</v>
      </c>
      <c r="I89" s="64">
        <v>9</v>
      </c>
      <c r="J89" t="s">
        <v>407</v>
      </c>
    </row>
    <row r="90" spans="1:10" ht="15.75" thickBot="1" x14ac:dyDescent="0.3">
      <c r="A90" s="8">
        <v>19770</v>
      </c>
      <c r="B90" s="61">
        <v>14628</v>
      </c>
      <c r="C90" s="6">
        <v>89</v>
      </c>
      <c r="D90" s="7" t="s">
        <v>70</v>
      </c>
      <c r="E90" s="7" t="s">
        <v>114</v>
      </c>
      <c r="F90" s="9">
        <v>108.7</v>
      </c>
      <c r="G90" s="64">
        <f>VLOOKUP(A90,'Relatório Vendas por Pedido'!$A$2:$G$252,7,FALSE)</f>
        <v>108.7</v>
      </c>
      <c r="H90" t="str">
        <f t="shared" si="1"/>
        <v>OK</v>
      </c>
      <c r="I90" s="64" t="s">
        <v>411</v>
      </c>
    </row>
    <row r="91" spans="1:10" ht="15.75" thickBot="1" x14ac:dyDescent="0.3">
      <c r="A91" s="8">
        <v>19771</v>
      </c>
      <c r="B91" s="61">
        <v>14630</v>
      </c>
      <c r="C91" s="6">
        <v>90</v>
      </c>
      <c r="D91" s="7" t="s">
        <v>70</v>
      </c>
      <c r="E91" s="7" t="s">
        <v>115</v>
      </c>
      <c r="F91" s="9">
        <v>974</v>
      </c>
      <c r="G91" s="64">
        <f>VLOOKUP(A91,'Relatório Vendas por Pedido'!$A$2:$G$252,7,FALSE)</f>
        <v>960</v>
      </c>
      <c r="H91" t="str">
        <f t="shared" si="1"/>
        <v>ERRO</v>
      </c>
      <c r="I91" s="64">
        <v>14</v>
      </c>
      <c r="J91" t="s">
        <v>407</v>
      </c>
    </row>
    <row r="92" spans="1:10" ht="15.75" thickBot="1" x14ac:dyDescent="0.3">
      <c r="A92" s="8">
        <v>19773</v>
      </c>
      <c r="B92" s="61">
        <v>14631</v>
      </c>
      <c r="C92" s="6">
        <v>91</v>
      </c>
      <c r="D92" s="7" t="s">
        <v>70</v>
      </c>
      <c r="E92" s="7" t="s">
        <v>116</v>
      </c>
      <c r="F92" s="9">
        <v>275</v>
      </c>
      <c r="G92" s="64">
        <f>VLOOKUP(A92,'Relatório Vendas por Pedido'!$A$2:$G$252,7,FALSE)</f>
        <v>266</v>
      </c>
      <c r="H92" t="str">
        <f t="shared" si="1"/>
        <v>ERRO</v>
      </c>
      <c r="I92" s="64">
        <v>9</v>
      </c>
      <c r="J92" t="s">
        <v>407</v>
      </c>
    </row>
    <row r="93" spans="1:10" ht="15.75" thickBot="1" x14ac:dyDescent="0.3">
      <c r="A93" s="8">
        <v>19783</v>
      </c>
      <c r="B93" s="61">
        <v>14638</v>
      </c>
      <c r="C93" s="6">
        <v>92</v>
      </c>
      <c r="D93" s="7" t="s">
        <v>70</v>
      </c>
      <c r="E93" s="7" t="s">
        <v>117</v>
      </c>
      <c r="F93" s="9">
        <v>272</v>
      </c>
      <c r="G93" s="64">
        <f>VLOOKUP(A93,'Relatório Vendas por Pedido'!$A$2:$G$252,7,FALSE)</f>
        <v>262</v>
      </c>
      <c r="H93" t="str">
        <f t="shared" si="1"/>
        <v>ERRO</v>
      </c>
      <c r="I93" s="64">
        <v>10</v>
      </c>
      <c r="J93" t="s">
        <v>407</v>
      </c>
    </row>
    <row r="94" spans="1:10" ht="15.75" thickBot="1" x14ac:dyDescent="0.3">
      <c r="A94" s="8">
        <v>19784</v>
      </c>
      <c r="B94" s="61">
        <v>14639</v>
      </c>
      <c r="C94" s="6">
        <v>93</v>
      </c>
      <c r="D94" s="7" t="s">
        <v>70</v>
      </c>
      <c r="E94" s="7" t="s">
        <v>118</v>
      </c>
      <c r="F94" s="9">
        <v>140</v>
      </c>
      <c r="G94" s="64">
        <f>VLOOKUP(A94,'Relatório Vendas por Pedido'!$A$2:$G$252,7,FALSE)</f>
        <v>140</v>
      </c>
      <c r="H94" t="str">
        <f t="shared" si="1"/>
        <v>OK</v>
      </c>
      <c r="I94" s="64" t="s">
        <v>411</v>
      </c>
    </row>
    <row r="95" spans="1:10" ht="15.75" thickBot="1" x14ac:dyDescent="0.3">
      <c r="A95" s="8">
        <v>19785</v>
      </c>
      <c r="B95" s="61">
        <v>14640</v>
      </c>
      <c r="C95" s="6">
        <v>94</v>
      </c>
      <c r="D95" s="7" t="s">
        <v>70</v>
      </c>
      <c r="E95" s="7" t="s">
        <v>119</v>
      </c>
      <c r="F95" s="9">
        <v>207</v>
      </c>
      <c r="G95" s="64">
        <f>VLOOKUP(A95,'Relatório Vendas por Pedido'!$A$2:$G$252,7,FALSE)</f>
        <v>207</v>
      </c>
      <c r="H95" t="str">
        <f t="shared" si="1"/>
        <v>OK</v>
      </c>
      <c r="I95" s="64" t="s">
        <v>411</v>
      </c>
    </row>
    <row r="96" spans="1:10" ht="15.75" thickBot="1" x14ac:dyDescent="0.3">
      <c r="A96" s="8">
        <v>19786</v>
      </c>
      <c r="B96" s="61">
        <v>14641</v>
      </c>
      <c r="C96" s="6">
        <v>95</v>
      </c>
      <c r="D96" s="7" t="s">
        <v>70</v>
      </c>
      <c r="E96" s="7" t="s">
        <v>120</v>
      </c>
      <c r="F96" s="9">
        <v>28.5</v>
      </c>
      <c r="G96" s="64">
        <f>VLOOKUP(A96,'Relatório Vendas por Pedido'!$A$2:$G$252,7,FALSE)</f>
        <v>28.5</v>
      </c>
      <c r="H96" t="str">
        <f t="shared" si="1"/>
        <v>OK</v>
      </c>
      <c r="I96" s="64" t="s">
        <v>411</v>
      </c>
    </row>
    <row r="97" spans="1:10" ht="15.75" thickBot="1" x14ac:dyDescent="0.3">
      <c r="A97" s="8">
        <v>19788</v>
      </c>
      <c r="B97" s="61">
        <v>14642</v>
      </c>
      <c r="C97" s="6">
        <v>96</v>
      </c>
      <c r="D97" s="7" t="s">
        <v>70</v>
      </c>
      <c r="E97" s="7" t="s">
        <v>121</v>
      </c>
      <c r="F97" s="9">
        <v>95.78</v>
      </c>
      <c r="G97" s="64">
        <f>VLOOKUP(A97,'Relatório Vendas por Pedido'!$A$2:$G$252,7,FALSE)</f>
        <v>95.78</v>
      </c>
      <c r="H97" t="str">
        <f t="shared" si="1"/>
        <v>OK</v>
      </c>
      <c r="I97" s="64" t="s">
        <v>411</v>
      </c>
    </row>
    <row r="98" spans="1:10" ht="15.75" thickBot="1" x14ac:dyDescent="0.3">
      <c r="A98" s="8">
        <v>19789</v>
      </c>
      <c r="B98" s="61">
        <v>14643</v>
      </c>
      <c r="C98" s="6">
        <v>97</v>
      </c>
      <c r="D98" s="7" t="s">
        <v>70</v>
      </c>
      <c r="E98" s="7" t="s">
        <v>122</v>
      </c>
      <c r="F98" s="9">
        <v>378</v>
      </c>
      <c r="G98" s="64">
        <f>VLOOKUP(A98,'Relatório Vendas por Pedido'!$A$2:$G$252,7,FALSE)</f>
        <v>378</v>
      </c>
      <c r="H98" t="str">
        <f t="shared" si="1"/>
        <v>OK</v>
      </c>
      <c r="I98" s="64" t="s">
        <v>411</v>
      </c>
    </row>
    <row r="99" spans="1:10" ht="15.75" thickBot="1" x14ac:dyDescent="0.3">
      <c r="A99" s="8">
        <v>19790</v>
      </c>
      <c r="B99" s="61">
        <v>14644</v>
      </c>
      <c r="C99" s="6">
        <v>98</v>
      </c>
      <c r="D99" s="7" t="s">
        <v>70</v>
      </c>
      <c r="E99" s="7" t="s">
        <v>123</v>
      </c>
      <c r="F99" s="9">
        <v>630</v>
      </c>
      <c r="G99" s="64">
        <f>VLOOKUP(A99,'Relatório Vendas por Pedido'!$A$2:$G$252,7,FALSE)</f>
        <v>630</v>
      </c>
      <c r="H99" t="str">
        <f t="shared" si="1"/>
        <v>OK</v>
      </c>
      <c r="I99" s="64" t="s">
        <v>411</v>
      </c>
    </row>
    <row r="100" spans="1:10" ht="15.75" thickBot="1" x14ac:dyDescent="0.3">
      <c r="A100" s="8">
        <v>19792</v>
      </c>
      <c r="B100" s="61">
        <v>14646</v>
      </c>
      <c r="C100" s="6">
        <v>99</v>
      </c>
      <c r="D100" s="7" t="s">
        <v>70</v>
      </c>
      <c r="E100" s="7" t="s">
        <v>124</v>
      </c>
      <c r="F100" s="9">
        <v>191.56</v>
      </c>
      <c r="G100" s="64">
        <f>VLOOKUP(A100,'Relatório Vendas por Pedido'!$A$2:$G$252,7,FALSE)</f>
        <v>191.56</v>
      </c>
      <c r="H100" t="str">
        <f t="shared" si="1"/>
        <v>OK</v>
      </c>
      <c r="I100" s="64" t="s">
        <v>411</v>
      </c>
    </row>
    <row r="101" spans="1:10" ht="15.75" thickBot="1" x14ac:dyDescent="0.3">
      <c r="A101" s="8">
        <v>19794</v>
      </c>
      <c r="B101" s="61">
        <v>14648</v>
      </c>
      <c r="C101" s="6">
        <v>100</v>
      </c>
      <c r="D101" s="7" t="s">
        <v>70</v>
      </c>
      <c r="E101" s="7" t="s">
        <v>125</v>
      </c>
      <c r="F101" s="9">
        <v>202</v>
      </c>
      <c r="G101" s="64">
        <f>VLOOKUP(A101,'Relatório Vendas por Pedido'!$A$2:$G$252,7,FALSE)</f>
        <v>202</v>
      </c>
      <c r="H101" t="str">
        <f t="shared" si="1"/>
        <v>OK</v>
      </c>
      <c r="I101" s="64" t="s">
        <v>411</v>
      </c>
    </row>
    <row r="102" spans="1:10" ht="15.75" thickBot="1" x14ac:dyDescent="0.3">
      <c r="A102" s="8">
        <v>19795</v>
      </c>
      <c r="B102" s="61">
        <v>14650</v>
      </c>
      <c r="C102" s="6">
        <v>101</v>
      </c>
      <c r="D102" s="7" t="s">
        <v>70</v>
      </c>
      <c r="E102" s="7" t="s">
        <v>126</v>
      </c>
      <c r="F102" s="9">
        <v>135</v>
      </c>
      <c r="G102" s="64">
        <f>VLOOKUP(A102,'Relatório Vendas por Pedido'!$A$2:$G$252,7,FALSE)</f>
        <v>135</v>
      </c>
      <c r="H102" t="str">
        <f t="shared" si="1"/>
        <v>OK</v>
      </c>
      <c r="I102" s="64" t="s">
        <v>411</v>
      </c>
    </row>
    <row r="103" spans="1:10" ht="15.75" thickBot="1" x14ac:dyDescent="0.3">
      <c r="A103" s="8">
        <v>19800</v>
      </c>
      <c r="B103" s="61">
        <v>14656</v>
      </c>
      <c r="C103" s="6">
        <v>102</v>
      </c>
      <c r="D103" s="7" t="s">
        <v>70</v>
      </c>
      <c r="E103" s="7" t="s">
        <v>127</v>
      </c>
      <c r="F103" s="9">
        <v>346</v>
      </c>
      <c r="G103" s="64">
        <f>VLOOKUP(A103,'Relatório Vendas por Pedido'!$A$2:$G$252,7,FALSE)</f>
        <v>336</v>
      </c>
      <c r="H103" t="str">
        <f t="shared" si="1"/>
        <v>ERRO</v>
      </c>
      <c r="I103" s="64">
        <v>10</v>
      </c>
      <c r="J103" t="s">
        <v>407</v>
      </c>
    </row>
    <row r="104" spans="1:10" ht="15.75" thickBot="1" x14ac:dyDescent="0.3">
      <c r="A104" s="8">
        <v>19803</v>
      </c>
      <c r="B104" s="61">
        <v>14654</v>
      </c>
      <c r="C104" s="6">
        <v>103</v>
      </c>
      <c r="D104" s="7" t="s">
        <v>70</v>
      </c>
      <c r="E104" s="7" t="s">
        <v>128</v>
      </c>
      <c r="F104" s="9">
        <v>136.5</v>
      </c>
      <c r="G104" s="64">
        <f>VLOOKUP(A104,'Relatório Vendas por Pedido'!$A$2:$G$252,7,FALSE)</f>
        <v>136.5</v>
      </c>
      <c r="H104" t="str">
        <f t="shared" si="1"/>
        <v>OK</v>
      </c>
      <c r="I104" s="64" t="s">
        <v>411</v>
      </c>
    </row>
    <row r="105" spans="1:10" ht="15.75" thickBot="1" x14ac:dyDescent="0.3">
      <c r="A105" s="8">
        <v>19804</v>
      </c>
      <c r="B105" s="61">
        <v>14655</v>
      </c>
      <c r="C105" s="6">
        <v>104</v>
      </c>
      <c r="D105" s="7" t="s">
        <v>70</v>
      </c>
      <c r="E105" s="7" t="s">
        <v>129</v>
      </c>
      <c r="F105" s="9">
        <v>141.18</v>
      </c>
      <c r="G105" s="64">
        <f>VLOOKUP(A105,'Relatório Vendas por Pedido'!$A$2:$G$252,7,FALSE)</f>
        <v>141.18</v>
      </c>
      <c r="H105" t="str">
        <f t="shared" si="1"/>
        <v>OK</v>
      </c>
      <c r="I105" s="64" t="s">
        <v>411</v>
      </c>
    </row>
    <row r="106" spans="1:10" ht="15.75" thickBot="1" x14ac:dyDescent="0.3">
      <c r="A106" s="8">
        <v>19808</v>
      </c>
      <c r="B106" s="61">
        <v>14657</v>
      </c>
      <c r="C106" s="6">
        <v>105</v>
      </c>
      <c r="D106" s="7" t="s">
        <v>70</v>
      </c>
      <c r="E106" s="7" t="s">
        <v>130</v>
      </c>
      <c r="F106" s="9">
        <v>110</v>
      </c>
      <c r="G106" s="64">
        <f>VLOOKUP(A106,'Relatório Vendas por Pedido'!$A$2:$G$252,7,FALSE)</f>
        <v>110</v>
      </c>
      <c r="H106" t="str">
        <f t="shared" si="1"/>
        <v>OK</v>
      </c>
      <c r="I106" s="64" t="s">
        <v>411</v>
      </c>
    </row>
    <row r="107" spans="1:10" ht="15.75" thickBot="1" x14ac:dyDescent="0.3">
      <c r="A107" s="8">
        <v>19809</v>
      </c>
      <c r="B107" s="61">
        <v>14658</v>
      </c>
      <c r="C107" s="6">
        <v>106</v>
      </c>
      <c r="D107" s="7" t="s">
        <v>70</v>
      </c>
      <c r="E107" s="7" t="s">
        <v>131</v>
      </c>
      <c r="F107" s="9">
        <v>227.5</v>
      </c>
      <c r="G107" s="64">
        <f>VLOOKUP(A107,'Relatório Vendas por Pedido'!$A$2:$G$252,7,FALSE)</f>
        <v>227.5</v>
      </c>
      <c r="H107" t="str">
        <f t="shared" si="1"/>
        <v>OK</v>
      </c>
      <c r="I107" s="64" t="s">
        <v>411</v>
      </c>
    </row>
    <row r="108" spans="1:10" ht="15.75" thickBot="1" x14ac:dyDescent="0.3">
      <c r="A108" s="8">
        <v>19810</v>
      </c>
      <c r="B108" s="61">
        <v>14659</v>
      </c>
      <c r="C108" s="6">
        <v>107</v>
      </c>
      <c r="D108" s="7" t="s">
        <v>70</v>
      </c>
      <c r="E108" s="7" t="s">
        <v>132</v>
      </c>
      <c r="F108" s="9">
        <v>107</v>
      </c>
      <c r="G108" s="64">
        <f>VLOOKUP(A108,'Relatório Vendas por Pedido'!$A$2:$G$252,7,FALSE)</f>
        <v>99</v>
      </c>
      <c r="H108" t="str">
        <f t="shared" si="1"/>
        <v>ERRO</v>
      </c>
      <c r="I108" s="64">
        <v>8</v>
      </c>
      <c r="J108" t="s">
        <v>407</v>
      </c>
    </row>
    <row r="109" spans="1:10" ht="15.75" thickBot="1" x14ac:dyDescent="0.3">
      <c r="A109" s="8">
        <v>19812</v>
      </c>
      <c r="B109" s="61">
        <v>14662</v>
      </c>
      <c r="C109" s="6">
        <v>108</v>
      </c>
      <c r="D109" s="7" t="s">
        <v>70</v>
      </c>
      <c r="E109" s="7" t="s">
        <v>133</v>
      </c>
      <c r="F109" s="9">
        <v>728</v>
      </c>
      <c r="G109" s="64">
        <f>VLOOKUP(A109,'Relatório Vendas por Pedido'!$A$2:$G$252,7,FALSE)</f>
        <v>720</v>
      </c>
      <c r="H109" t="str">
        <f t="shared" si="1"/>
        <v>ERRO</v>
      </c>
      <c r="I109" s="64">
        <v>8</v>
      </c>
      <c r="J109" t="s">
        <v>407</v>
      </c>
    </row>
    <row r="110" spans="1:10" ht="15.75" thickBot="1" x14ac:dyDescent="0.3">
      <c r="A110" s="8">
        <v>19813</v>
      </c>
      <c r="B110" s="61">
        <v>14663</v>
      </c>
      <c r="C110" s="6">
        <v>109</v>
      </c>
      <c r="D110" s="7" t="s">
        <v>70</v>
      </c>
      <c r="E110" s="7" t="s">
        <v>134</v>
      </c>
      <c r="F110" s="9">
        <v>328.4</v>
      </c>
      <c r="G110" s="64">
        <f>VLOOKUP(A110,'Relatório Vendas por Pedido'!$A$2:$G$252,7,FALSE)</f>
        <v>328.4</v>
      </c>
      <c r="H110" t="str">
        <f t="shared" si="1"/>
        <v>OK</v>
      </c>
      <c r="I110" s="64" t="s">
        <v>411</v>
      </c>
    </row>
    <row r="111" spans="1:10" ht="15.75" thickBot="1" x14ac:dyDescent="0.3">
      <c r="A111" s="8">
        <v>19818</v>
      </c>
      <c r="B111" s="61">
        <v>14664</v>
      </c>
      <c r="C111" s="6">
        <v>110</v>
      </c>
      <c r="D111" s="7" t="s">
        <v>70</v>
      </c>
      <c r="E111" s="7" t="s">
        <v>135</v>
      </c>
      <c r="F111" s="9">
        <v>182</v>
      </c>
      <c r="G111" s="64">
        <f>VLOOKUP(A111,'Relatório Vendas por Pedido'!$A$2:$G$252,7,FALSE)</f>
        <v>182</v>
      </c>
      <c r="H111" t="str">
        <f t="shared" si="1"/>
        <v>OK</v>
      </c>
      <c r="I111" s="64" t="s">
        <v>411</v>
      </c>
    </row>
    <row r="112" spans="1:10" ht="15.75" thickBot="1" x14ac:dyDescent="0.3">
      <c r="A112" s="8">
        <v>19823</v>
      </c>
      <c r="B112" s="61">
        <v>14668</v>
      </c>
      <c r="C112" s="6">
        <v>111</v>
      </c>
      <c r="D112" s="7" t="s">
        <v>70</v>
      </c>
      <c r="E112" s="7" t="s">
        <v>136</v>
      </c>
      <c r="F112" s="9">
        <v>222</v>
      </c>
      <c r="G112" s="64">
        <f>VLOOKUP(A112,'Relatório Vendas por Pedido'!$A$2:$G$252,7,FALSE)</f>
        <v>212</v>
      </c>
      <c r="H112" t="str">
        <f t="shared" si="1"/>
        <v>ERRO</v>
      </c>
      <c r="I112" s="64">
        <v>10</v>
      </c>
      <c r="J112" t="s">
        <v>407</v>
      </c>
    </row>
    <row r="113" spans="1:10" ht="15.75" thickBot="1" x14ac:dyDescent="0.3">
      <c r="A113" s="8">
        <v>19826</v>
      </c>
      <c r="B113" s="61">
        <v>14669</v>
      </c>
      <c r="C113" s="6">
        <v>112</v>
      </c>
      <c r="D113" s="7" t="s">
        <v>70</v>
      </c>
      <c r="E113" s="7" t="s">
        <v>137</v>
      </c>
      <c r="F113" s="9">
        <v>108.7</v>
      </c>
      <c r="G113" s="64">
        <f>VLOOKUP(A113,'Relatório Vendas por Pedido'!$A$2:$G$252,7,FALSE)</f>
        <v>108.7</v>
      </c>
      <c r="H113" t="str">
        <f t="shared" si="1"/>
        <v>OK</v>
      </c>
      <c r="I113" s="64" t="s">
        <v>411</v>
      </c>
    </row>
    <row r="114" spans="1:10" ht="15.75" thickBot="1" x14ac:dyDescent="0.3">
      <c r="A114" s="8">
        <v>19827</v>
      </c>
      <c r="B114" s="61">
        <v>14672</v>
      </c>
      <c r="C114" s="6">
        <v>113</v>
      </c>
      <c r="D114" s="7" t="s">
        <v>70</v>
      </c>
      <c r="E114" s="7" t="s">
        <v>138</v>
      </c>
      <c r="F114" s="9">
        <v>575.52</v>
      </c>
      <c r="G114" s="64">
        <f>VLOOKUP(A114,'Relatório Vendas por Pedido'!$A$2:$G$252,7,FALSE)</f>
        <v>567.52</v>
      </c>
      <c r="H114" t="str">
        <f t="shared" si="1"/>
        <v>ERRO</v>
      </c>
      <c r="I114" s="64">
        <v>8</v>
      </c>
      <c r="J114" t="s">
        <v>407</v>
      </c>
    </row>
    <row r="115" spans="1:10" ht="15.75" thickBot="1" x14ac:dyDescent="0.3">
      <c r="A115" s="8">
        <v>19828</v>
      </c>
      <c r="B115" s="61">
        <v>14671</v>
      </c>
      <c r="C115" s="6">
        <v>114</v>
      </c>
      <c r="D115" s="7" t="s">
        <v>70</v>
      </c>
      <c r="E115" s="7" t="s">
        <v>139</v>
      </c>
      <c r="F115" s="9">
        <v>82.1</v>
      </c>
      <c r="G115" s="64">
        <f>VLOOKUP(A115,'Relatório Vendas por Pedido'!$A$2:$G$252,7,FALSE)</f>
        <v>82.1</v>
      </c>
      <c r="H115" t="str">
        <f t="shared" si="1"/>
        <v>OK</v>
      </c>
      <c r="I115" s="64" t="s">
        <v>411</v>
      </c>
    </row>
    <row r="116" spans="1:10" ht="15.75" thickBot="1" x14ac:dyDescent="0.3">
      <c r="A116" s="8">
        <v>19838</v>
      </c>
      <c r="B116" s="61">
        <v>14681</v>
      </c>
      <c r="C116" s="6">
        <v>115</v>
      </c>
      <c r="D116" s="7" t="s">
        <v>70</v>
      </c>
      <c r="E116" s="7" t="s">
        <v>140</v>
      </c>
      <c r="F116" s="9">
        <v>100</v>
      </c>
      <c r="G116" s="64">
        <f>VLOOKUP(A116,'Relatório Vendas por Pedido'!$A$2:$G$252,7,FALSE)</f>
        <v>90</v>
      </c>
      <c r="H116" t="str">
        <f t="shared" si="1"/>
        <v>ERRO</v>
      </c>
      <c r="I116" s="64">
        <v>10</v>
      </c>
      <c r="J116" t="s">
        <v>407</v>
      </c>
    </row>
    <row r="117" spans="1:10" ht="15.75" thickBot="1" x14ac:dyDescent="0.3">
      <c r="A117" s="8">
        <v>19839</v>
      </c>
      <c r="B117" s="61">
        <v>14677</v>
      </c>
      <c r="C117" s="6">
        <v>116</v>
      </c>
      <c r="D117" s="7" t="s">
        <v>70</v>
      </c>
      <c r="E117" s="7" t="s">
        <v>141</v>
      </c>
      <c r="F117" s="9">
        <v>222</v>
      </c>
      <c r="G117" s="64">
        <f>VLOOKUP(A117,'Relatório Vendas por Pedido'!$A$2:$G$252,7,FALSE)</f>
        <v>211</v>
      </c>
      <c r="H117" t="str">
        <f t="shared" si="1"/>
        <v>ERRO</v>
      </c>
      <c r="I117" s="64">
        <v>11</v>
      </c>
      <c r="J117" t="s">
        <v>407</v>
      </c>
    </row>
    <row r="118" spans="1:10" ht="15.75" thickBot="1" x14ac:dyDescent="0.3">
      <c r="A118" s="8">
        <v>19845</v>
      </c>
      <c r="B118" s="61">
        <v>14680</v>
      </c>
      <c r="C118" s="6">
        <v>117</v>
      </c>
      <c r="D118" s="7" t="s">
        <v>70</v>
      </c>
      <c r="E118" s="7" t="s">
        <v>142</v>
      </c>
      <c r="F118" s="9">
        <v>606.67999999999995</v>
      </c>
      <c r="G118" s="64">
        <f>VLOOKUP(A118,'Relatório Vendas por Pedido'!$A$2:$G$252,7,FALSE)</f>
        <v>594.67999999999995</v>
      </c>
      <c r="H118" t="str">
        <f t="shared" si="1"/>
        <v>ERRO</v>
      </c>
      <c r="I118" s="64">
        <v>12</v>
      </c>
      <c r="J118" t="s">
        <v>407</v>
      </c>
    </row>
    <row r="119" spans="1:10" ht="15.75" thickBot="1" x14ac:dyDescent="0.3">
      <c r="A119" s="8">
        <v>19847</v>
      </c>
      <c r="B119" s="61">
        <v>14682</v>
      </c>
      <c r="C119" s="6">
        <v>118</v>
      </c>
      <c r="D119" s="7" t="s">
        <v>70</v>
      </c>
      <c r="E119" s="7" t="s">
        <v>143</v>
      </c>
      <c r="F119" s="9">
        <v>20</v>
      </c>
      <c r="G119" s="64">
        <f>VLOOKUP(A119,'Relatório Vendas por Pedido'!$A$2:$G$252,7,FALSE)</f>
        <v>20</v>
      </c>
      <c r="H119" t="str">
        <f t="shared" si="1"/>
        <v>OK</v>
      </c>
      <c r="I119" s="64" t="s">
        <v>411</v>
      </c>
    </row>
    <row r="120" spans="1:10" ht="15.75" thickBot="1" x14ac:dyDescent="0.3">
      <c r="A120" s="8">
        <v>19854</v>
      </c>
      <c r="B120" s="61">
        <v>14686</v>
      </c>
      <c r="C120" s="6">
        <v>119</v>
      </c>
      <c r="D120" s="7" t="s">
        <v>70</v>
      </c>
      <c r="E120" s="7" t="s">
        <v>144</v>
      </c>
      <c r="F120" s="9">
        <v>106</v>
      </c>
      <c r="G120" s="64">
        <f>VLOOKUP(A120,'Relatório Vendas por Pedido'!$A$2:$G$252,7,FALSE)</f>
        <v>106</v>
      </c>
      <c r="H120" t="str">
        <f t="shared" si="1"/>
        <v>OK</v>
      </c>
      <c r="I120" s="64" t="s">
        <v>411</v>
      </c>
    </row>
    <row r="121" spans="1:10" ht="15.75" thickBot="1" x14ac:dyDescent="0.3">
      <c r="A121" s="8">
        <v>19858</v>
      </c>
      <c r="B121" s="61">
        <v>14688</v>
      </c>
      <c r="C121" s="6">
        <v>120</v>
      </c>
      <c r="D121" s="7" t="s">
        <v>70</v>
      </c>
      <c r="E121" s="7" t="s">
        <v>145</v>
      </c>
      <c r="F121" s="9">
        <v>50</v>
      </c>
      <c r="G121" s="64">
        <f>VLOOKUP(A121,'Relatório Vendas por Pedido'!$A$2:$G$252,7,FALSE)</f>
        <v>50</v>
      </c>
      <c r="H121" t="str">
        <f t="shared" si="1"/>
        <v>OK</v>
      </c>
      <c r="I121" s="64" t="s">
        <v>411</v>
      </c>
    </row>
    <row r="122" spans="1:10" ht="15.75" thickBot="1" x14ac:dyDescent="0.3">
      <c r="A122" s="8">
        <v>19863</v>
      </c>
      <c r="B122" s="61">
        <v>14691</v>
      </c>
      <c r="C122" s="6">
        <v>121</v>
      </c>
      <c r="D122" s="7" t="s">
        <v>70</v>
      </c>
      <c r="E122" s="7" t="s">
        <v>146</v>
      </c>
      <c r="F122" s="9">
        <v>115</v>
      </c>
      <c r="G122" s="64">
        <f>VLOOKUP(A122,'Relatório Vendas por Pedido'!$A$2:$G$252,7,FALSE)</f>
        <v>106</v>
      </c>
      <c r="H122" t="str">
        <f t="shared" si="1"/>
        <v>ERRO</v>
      </c>
      <c r="I122" s="64">
        <v>9</v>
      </c>
      <c r="J122" t="s">
        <v>407</v>
      </c>
    </row>
    <row r="123" spans="1:10" ht="15.75" thickBot="1" x14ac:dyDescent="0.3">
      <c r="A123" s="8">
        <v>19864</v>
      </c>
      <c r="B123" s="61">
        <v>14692</v>
      </c>
      <c r="C123" s="6">
        <v>122</v>
      </c>
      <c r="D123" s="7" t="s">
        <v>70</v>
      </c>
      <c r="E123" s="7" t="s">
        <v>147</v>
      </c>
      <c r="F123" s="9">
        <v>378.96</v>
      </c>
      <c r="G123" s="64">
        <f>VLOOKUP(A123,'Relatório Vendas por Pedido'!$A$2:$G$252,7,FALSE)</f>
        <v>378.96</v>
      </c>
      <c r="H123" t="str">
        <f t="shared" si="1"/>
        <v>OK</v>
      </c>
      <c r="I123" s="64" t="s">
        <v>411</v>
      </c>
    </row>
    <row r="124" spans="1:10" ht="15.75" thickBot="1" x14ac:dyDescent="0.3">
      <c r="A124" s="8">
        <v>19869</v>
      </c>
      <c r="B124" s="61">
        <v>14697</v>
      </c>
      <c r="C124" s="6">
        <v>123</v>
      </c>
      <c r="D124" s="7" t="s">
        <v>70</v>
      </c>
      <c r="E124" s="7" t="s">
        <v>148</v>
      </c>
      <c r="F124" s="9">
        <v>100</v>
      </c>
      <c r="G124" s="64">
        <f>VLOOKUP(A124,'Relatório Vendas por Pedido'!$A$2:$G$252,7,FALSE)</f>
        <v>100</v>
      </c>
      <c r="H124" t="str">
        <f t="shared" si="1"/>
        <v>OK</v>
      </c>
      <c r="I124" s="64" t="s">
        <v>411</v>
      </c>
    </row>
    <row r="125" spans="1:10" ht="15.75" thickBot="1" x14ac:dyDescent="0.3">
      <c r="A125" s="8">
        <v>19871</v>
      </c>
      <c r="B125" s="61">
        <v>14700</v>
      </c>
      <c r="C125" s="6">
        <v>124</v>
      </c>
      <c r="D125" s="7" t="s">
        <v>70</v>
      </c>
      <c r="E125" s="7" t="s">
        <v>149</v>
      </c>
      <c r="F125" s="9">
        <v>389.96</v>
      </c>
      <c r="G125" s="64">
        <f>VLOOKUP(A125,'Relatório Vendas por Pedido'!$A$2:$G$252,7,FALSE)</f>
        <v>378.96</v>
      </c>
      <c r="H125" t="str">
        <f t="shared" si="1"/>
        <v>ERRO</v>
      </c>
      <c r="I125" s="64">
        <v>11</v>
      </c>
      <c r="J125" t="s">
        <v>407</v>
      </c>
    </row>
    <row r="126" spans="1:10" ht="15.75" thickBot="1" x14ac:dyDescent="0.3">
      <c r="A126" s="8">
        <v>19872</v>
      </c>
      <c r="B126" s="61">
        <v>14699</v>
      </c>
      <c r="C126" s="6">
        <v>125</v>
      </c>
      <c r="D126" s="7" t="s">
        <v>70</v>
      </c>
      <c r="E126" s="7" t="s">
        <v>150</v>
      </c>
      <c r="F126" s="9">
        <v>574.67999999999995</v>
      </c>
      <c r="G126" s="64">
        <f>VLOOKUP(A126,'Relatório Vendas por Pedido'!$A$2:$G$252,7,FALSE)</f>
        <v>574.67999999999995</v>
      </c>
      <c r="H126" t="str">
        <f t="shared" si="1"/>
        <v>OK</v>
      </c>
      <c r="I126" s="64" t="s">
        <v>411</v>
      </c>
    </row>
    <row r="127" spans="1:10" ht="15.75" thickBot="1" x14ac:dyDescent="0.3">
      <c r="A127" s="8">
        <v>19881</v>
      </c>
      <c r="B127" s="61">
        <v>14705</v>
      </c>
      <c r="C127" s="6">
        <v>126</v>
      </c>
      <c r="D127" s="7" t="s">
        <v>70</v>
      </c>
      <c r="E127" s="7" t="s">
        <v>151</v>
      </c>
      <c r="F127" s="9">
        <v>171.6</v>
      </c>
      <c r="G127" s="64">
        <f>VLOOKUP(A127,'Relatório Vendas por Pedido'!$A$2:$G$252,7,FALSE)</f>
        <v>159.6</v>
      </c>
      <c r="H127" t="str">
        <f t="shared" si="1"/>
        <v>ERRO</v>
      </c>
      <c r="I127" s="64">
        <v>12</v>
      </c>
      <c r="J127" t="s">
        <v>407</v>
      </c>
    </row>
    <row r="128" spans="1:10" ht="15.75" thickBot="1" x14ac:dyDescent="0.3">
      <c r="A128" s="8">
        <v>19883</v>
      </c>
      <c r="B128" s="61">
        <v>14703</v>
      </c>
      <c r="C128" s="6">
        <v>127</v>
      </c>
      <c r="D128" s="7" t="s">
        <v>70</v>
      </c>
      <c r="E128" s="7" t="s">
        <v>152</v>
      </c>
      <c r="F128" s="9">
        <v>132</v>
      </c>
      <c r="G128" s="64">
        <f>VLOOKUP(A128,'Relatório Vendas por Pedido'!$A$2:$G$252,7,FALSE)</f>
        <v>132</v>
      </c>
      <c r="H128" t="str">
        <f t="shared" si="1"/>
        <v>OK</v>
      </c>
      <c r="I128" s="64" t="s">
        <v>411</v>
      </c>
    </row>
    <row r="129" spans="1:10" ht="15.75" thickBot="1" x14ac:dyDescent="0.3">
      <c r="A129" s="8">
        <v>19888</v>
      </c>
      <c r="B129" s="61">
        <v>14707</v>
      </c>
      <c r="C129" s="6">
        <v>128</v>
      </c>
      <c r="D129" s="7" t="s">
        <v>70</v>
      </c>
      <c r="E129" s="7" t="s">
        <v>153</v>
      </c>
      <c r="F129" s="9">
        <v>76</v>
      </c>
      <c r="G129" s="64">
        <f>VLOOKUP(A129,'Relatório Vendas por Pedido'!$A$2:$G$252,7,FALSE)</f>
        <v>76</v>
      </c>
      <c r="H129" t="str">
        <f t="shared" si="1"/>
        <v>OK</v>
      </c>
      <c r="I129" s="64" t="s">
        <v>411</v>
      </c>
    </row>
    <row r="130" spans="1:10" ht="15.75" thickBot="1" x14ac:dyDescent="0.3">
      <c r="A130" s="8">
        <v>19900</v>
      </c>
      <c r="B130" s="61">
        <v>14711</v>
      </c>
      <c r="C130" s="6">
        <v>129</v>
      </c>
      <c r="D130" s="7" t="s">
        <v>70</v>
      </c>
      <c r="E130" s="7" t="s">
        <v>154</v>
      </c>
      <c r="F130" s="9">
        <v>188</v>
      </c>
      <c r="G130" s="64">
        <f>VLOOKUP(A130,'Relatório Vendas por Pedido'!$A$2:$G$252,7,FALSE)</f>
        <v>180</v>
      </c>
      <c r="H130" t="str">
        <f t="shared" si="1"/>
        <v>ERRO</v>
      </c>
      <c r="I130" s="64">
        <v>8</v>
      </c>
      <c r="J130" t="s">
        <v>407</v>
      </c>
    </row>
    <row r="131" spans="1:10" ht="15.75" thickBot="1" x14ac:dyDescent="0.3">
      <c r="A131" s="8">
        <v>19901</v>
      </c>
      <c r="B131" s="61">
        <v>14714</v>
      </c>
      <c r="C131" s="6">
        <v>130</v>
      </c>
      <c r="D131" s="7" t="s">
        <v>70</v>
      </c>
      <c r="E131" s="7" t="s">
        <v>155</v>
      </c>
      <c r="F131" s="9">
        <v>34.5</v>
      </c>
      <c r="G131" s="64">
        <f>VLOOKUP(A131,'Relatório Vendas por Pedido'!$A$2:$G$252,7,FALSE)</f>
        <v>16.88</v>
      </c>
      <c r="H131" t="str">
        <f t="shared" ref="H131:H194" si="2">IF(G131=F131,"OK","ERRO")</f>
        <v>ERRO</v>
      </c>
      <c r="I131" s="64">
        <v>17.62</v>
      </c>
      <c r="J131" t="s">
        <v>407</v>
      </c>
    </row>
    <row r="132" spans="1:10" ht="15.75" thickBot="1" x14ac:dyDescent="0.3">
      <c r="A132" s="8">
        <v>19908</v>
      </c>
      <c r="B132" s="61">
        <v>14719</v>
      </c>
      <c r="C132" s="6">
        <v>131</v>
      </c>
      <c r="D132" s="7" t="s">
        <v>70</v>
      </c>
      <c r="E132" s="7" t="s">
        <v>156</v>
      </c>
      <c r="F132" s="9">
        <v>53</v>
      </c>
      <c r="G132" s="64">
        <f>VLOOKUP(A132,'Relatório Vendas por Pedido'!$A$2:$G$252,7,FALSE)</f>
        <v>53</v>
      </c>
      <c r="H132" t="str">
        <f t="shared" si="2"/>
        <v>OK</v>
      </c>
      <c r="I132" s="64" t="s">
        <v>411</v>
      </c>
    </row>
    <row r="133" spans="1:10" ht="15.75" thickBot="1" x14ac:dyDescent="0.3">
      <c r="A133" s="8">
        <v>19909</v>
      </c>
      <c r="B133" s="61">
        <v>14720</v>
      </c>
      <c r="C133" s="6">
        <v>132</v>
      </c>
      <c r="D133" s="7" t="s">
        <v>70</v>
      </c>
      <c r="E133" s="7" t="s">
        <v>157</v>
      </c>
      <c r="F133" s="9">
        <v>225</v>
      </c>
      <c r="G133" s="64">
        <f>VLOOKUP(A133,'Relatório Vendas por Pedido'!$A$2:$G$252,7,FALSE)</f>
        <v>215</v>
      </c>
      <c r="H133" t="str">
        <f t="shared" si="2"/>
        <v>ERRO</v>
      </c>
      <c r="I133" s="64">
        <v>10</v>
      </c>
      <c r="J133" t="s">
        <v>407</v>
      </c>
    </row>
    <row r="134" spans="1:10" ht="15.75" thickBot="1" x14ac:dyDescent="0.3">
      <c r="A134" s="8">
        <v>19911</v>
      </c>
      <c r="B134" s="61">
        <v>14729</v>
      </c>
      <c r="C134" s="6">
        <v>133</v>
      </c>
      <c r="D134" s="7" t="s">
        <v>70</v>
      </c>
      <c r="E134" s="7" t="s">
        <v>158</v>
      </c>
      <c r="F134" s="9">
        <v>273</v>
      </c>
      <c r="G134" s="64">
        <f>VLOOKUP(A134,'Relatório Vendas por Pedido'!$A$2:$G$252,7,FALSE)</f>
        <v>273</v>
      </c>
      <c r="H134" t="str">
        <f t="shared" si="2"/>
        <v>OK</v>
      </c>
      <c r="I134" s="64" t="s">
        <v>411</v>
      </c>
    </row>
    <row r="135" spans="1:10" ht="15.75" thickBot="1" x14ac:dyDescent="0.3">
      <c r="A135" s="8">
        <v>19914</v>
      </c>
      <c r="B135" s="61">
        <v>14725</v>
      </c>
      <c r="C135" s="6">
        <v>134</v>
      </c>
      <c r="D135" s="7" t="s">
        <v>70</v>
      </c>
      <c r="E135" s="7" t="s">
        <v>159</v>
      </c>
      <c r="F135" s="9">
        <v>52</v>
      </c>
      <c r="G135" s="64">
        <f>VLOOKUP(A135,'Relatório Vendas por Pedido'!$A$2:$G$252,7,FALSE)</f>
        <v>40</v>
      </c>
      <c r="H135" t="str">
        <f t="shared" si="2"/>
        <v>ERRO</v>
      </c>
      <c r="I135" s="64">
        <v>12</v>
      </c>
      <c r="J135" t="s">
        <v>407</v>
      </c>
    </row>
    <row r="136" spans="1:10" ht="15.75" thickBot="1" x14ac:dyDescent="0.3">
      <c r="A136" s="8">
        <v>19915</v>
      </c>
      <c r="B136" s="61">
        <v>14721</v>
      </c>
      <c r="C136" s="6">
        <v>135</v>
      </c>
      <c r="D136" s="7" t="s">
        <v>70</v>
      </c>
      <c r="E136" s="7" t="s">
        <v>160</v>
      </c>
      <c r="F136" s="9">
        <v>183</v>
      </c>
      <c r="G136" s="64">
        <f>VLOOKUP(A136,'Relatório Vendas por Pedido'!$A$2:$G$252,7,FALSE)</f>
        <v>168</v>
      </c>
      <c r="H136" t="str">
        <f t="shared" si="2"/>
        <v>ERRO</v>
      </c>
      <c r="I136" s="64">
        <v>15</v>
      </c>
      <c r="J136" t="s">
        <v>407</v>
      </c>
    </row>
    <row r="137" spans="1:10" ht="15.75" thickBot="1" x14ac:dyDescent="0.3">
      <c r="A137" s="8">
        <v>19916</v>
      </c>
      <c r="B137" s="61">
        <v>14723</v>
      </c>
      <c r="C137" s="6">
        <v>136</v>
      </c>
      <c r="D137" s="7" t="s">
        <v>70</v>
      </c>
      <c r="E137" s="7" t="s">
        <v>161</v>
      </c>
      <c r="F137" s="9">
        <v>69</v>
      </c>
      <c r="G137" s="64">
        <f>VLOOKUP(A137,'Relatório Vendas por Pedido'!$A$2:$G$252,7,FALSE)</f>
        <v>56</v>
      </c>
      <c r="H137" t="str">
        <f t="shared" si="2"/>
        <v>ERRO</v>
      </c>
      <c r="I137" s="64">
        <v>13</v>
      </c>
      <c r="J137" t="s">
        <v>417</v>
      </c>
    </row>
    <row r="138" spans="1:10" ht="15.75" thickBot="1" x14ac:dyDescent="0.3">
      <c r="A138" s="8">
        <v>19921</v>
      </c>
      <c r="B138" s="61">
        <v>14726</v>
      </c>
      <c r="C138" s="6">
        <v>137</v>
      </c>
      <c r="D138" s="7" t="s">
        <v>70</v>
      </c>
      <c r="E138" s="7" t="s">
        <v>162</v>
      </c>
      <c r="F138" s="9">
        <v>95</v>
      </c>
      <c r="G138" s="64">
        <f>VLOOKUP(A138,'Relatório Vendas por Pedido'!$A$2:$G$252,7,FALSE)</f>
        <v>95</v>
      </c>
      <c r="H138" t="str">
        <f t="shared" si="2"/>
        <v>OK</v>
      </c>
      <c r="I138" s="64" t="s">
        <v>411</v>
      </c>
    </row>
    <row r="139" spans="1:10" ht="15.75" thickBot="1" x14ac:dyDescent="0.3">
      <c r="A139" s="8">
        <v>19748</v>
      </c>
      <c r="B139" s="61">
        <v>14615</v>
      </c>
      <c r="C139" s="6">
        <v>138</v>
      </c>
      <c r="D139" s="7" t="s">
        <v>163</v>
      </c>
      <c r="E139" s="7" t="s">
        <v>164</v>
      </c>
      <c r="F139" s="9">
        <v>327.92</v>
      </c>
      <c r="G139" s="64">
        <f>VLOOKUP(A139,'Relatório Vendas por Pedido'!$A$2:$G$252,7,FALSE)</f>
        <v>327.92</v>
      </c>
      <c r="H139" t="str">
        <f t="shared" si="2"/>
        <v>OK</v>
      </c>
      <c r="I139" s="64" t="s">
        <v>411</v>
      </c>
    </row>
    <row r="140" spans="1:10" ht="15.75" thickBot="1" x14ac:dyDescent="0.3">
      <c r="A140" s="8">
        <v>19848</v>
      </c>
      <c r="B140" s="61">
        <v>14683</v>
      </c>
      <c r="C140" s="6">
        <v>139</v>
      </c>
      <c r="D140" s="7" t="s">
        <v>163</v>
      </c>
      <c r="E140" s="7" t="s">
        <v>165</v>
      </c>
      <c r="F140" s="9">
        <v>435.84</v>
      </c>
      <c r="G140" s="64">
        <f>VLOOKUP(A140,'Relatório Vendas por Pedido'!$A$2:$G$252,7,FALSE)</f>
        <v>435.84</v>
      </c>
      <c r="H140" t="str">
        <f t="shared" si="2"/>
        <v>OK</v>
      </c>
      <c r="I140" s="64" t="s">
        <v>411</v>
      </c>
    </row>
    <row r="141" spans="1:10" ht="15.75" thickBot="1" x14ac:dyDescent="0.3">
      <c r="A141" s="8">
        <v>19899</v>
      </c>
      <c r="B141" s="61">
        <v>14709</v>
      </c>
      <c r="C141" s="6">
        <v>140</v>
      </c>
      <c r="D141" s="7" t="s">
        <v>163</v>
      </c>
      <c r="E141" s="7" t="s">
        <v>166</v>
      </c>
      <c r="F141" s="9">
        <v>104.5</v>
      </c>
      <c r="G141" s="64">
        <f>VLOOKUP(A141,'Relatório Vendas por Pedido'!$A$2:$G$252,7,FALSE)</f>
        <v>104.5</v>
      </c>
      <c r="H141" t="str">
        <f t="shared" si="2"/>
        <v>OK</v>
      </c>
      <c r="I141" s="64" t="s">
        <v>411</v>
      </c>
    </row>
    <row r="142" spans="1:10" ht="15.75" thickBot="1" x14ac:dyDescent="0.3">
      <c r="A142" s="8">
        <v>19676</v>
      </c>
      <c r="B142" s="61">
        <v>14561</v>
      </c>
      <c r="C142" s="6">
        <v>141</v>
      </c>
      <c r="D142" s="7" t="s">
        <v>167</v>
      </c>
      <c r="E142" s="7" t="s">
        <v>168</v>
      </c>
      <c r="F142" s="9">
        <v>492</v>
      </c>
      <c r="G142" s="64">
        <f>VLOOKUP(A142,'Relatório Vendas por Pedido'!$A$2:$G$252,7,FALSE)</f>
        <v>480</v>
      </c>
      <c r="H142" t="str">
        <f t="shared" si="2"/>
        <v>ERRO</v>
      </c>
      <c r="I142" s="64">
        <v>12</v>
      </c>
      <c r="J142" t="s">
        <v>407</v>
      </c>
    </row>
    <row r="143" spans="1:10" ht="15.75" thickBot="1" x14ac:dyDescent="0.3">
      <c r="A143" s="8">
        <v>19713</v>
      </c>
      <c r="B143" s="61">
        <v>14585</v>
      </c>
      <c r="C143" s="6">
        <v>142</v>
      </c>
      <c r="D143" s="7" t="s">
        <v>167</v>
      </c>
      <c r="E143" s="7" t="s">
        <v>169</v>
      </c>
      <c r="F143" s="9">
        <v>558</v>
      </c>
      <c r="G143" s="64">
        <f>VLOOKUP(A143,'Relatório Vendas por Pedido'!$A$2:$G$252,7,FALSE)</f>
        <v>546</v>
      </c>
      <c r="H143" t="str">
        <f t="shared" si="2"/>
        <v>ERRO</v>
      </c>
      <c r="I143" s="64">
        <v>12</v>
      </c>
      <c r="J143" t="s">
        <v>407</v>
      </c>
    </row>
    <row r="144" spans="1:10" ht="15.75" thickBot="1" x14ac:dyDescent="0.3">
      <c r="A144" s="8">
        <v>19852</v>
      </c>
      <c r="B144" s="61">
        <v>14685</v>
      </c>
      <c r="C144" s="6">
        <v>143</v>
      </c>
      <c r="D144" s="7" t="s">
        <v>167</v>
      </c>
      <c r="E144" s="7" t="s">
        <v>170</v>
      </c>
      <c r="F144" s="9">
        <v>559</v>
      </c>
      <c r="G144" s="64">
        <f>VLOOKUP(A144,'Relatório Vendas por Pedido'!$A$2:$G$252,7,FALSE)</f>
        <v>546</v>
      </c>
      <c r="H144" t="str">
        <f t="shared" si="2"/>
        <v>ERRO</v>
      </c>
      <c r="I144" s="64">
        <v>13</v>
      </c>
      <c r="J144" t="s">
        <v>407</v>
      </c>
    </row>
    <row r="145" spans="1:10" ht="15.75" thickBot="1" x14ac:dyDescent="0.3">
      <c r="A145" s="8">
        <v>19750</v>
      </c>
      <c r="B145" s="61">
        <v>4887</v>
      </c>
      <c r="C145" s="6">
        <v>144</v>
      </c>
      <c r="D145" s="7" t="s">
        <v>171</v>
      </c>
      <c r="E145" s="7" t="s">
        <v>172</v>
      </c>
      <c r="F145" s="9">
        <v>23425.5</v>
      </c>
      <c r="G145" s="64">
        <f>VLOOKUP(A145,'Relatório Vendas por Pedido'!$A$2:$G$252,7,FALSE)</f>
        <v>23425.5</v>
      </c>
      <c r="H145" t="str">
        <f t="shared" si="2"/>
        <v>OK</v>
      </c>
      <c r="I145" s="64" t="s">
        <v>411</v>
      </c>
    </row>
    <row r="146" spans="1:10" ht="15.75" thickBot="1" x14ac:dyDescent="0.3">
      <c r="A146" s="8">
        <v>19753</v>
      </c>
      <c r="B146" s="61">
        <v>14619</v>
      </c>
      <c r="C146" s="6">
        <v>145</v>
      </c>
      <c r="D146" s="7" t="s">
        <v>173</v>
      </c>
      <c r="E146" s="7" t="s">
        <v>174</v>
      </c>
      <c r="F146" s="9">
        <v>370</v>
      </c>
      <c r="G146" s="64">
        <f>VLOOKUP(A146,'Relatório Vendas por Pedido'!$A$2:$G$252,7,FALSE)</f>
        <v>360</v>
      </c>
      <c r="H146" t="str">
        <f t="shared" si="2"/>
        <v>ERRO</v>
      </c>
      <c r="I146" s="64">
        <v>10</v>
      </c>
      <c r="J146" t="s">
        <v>407</v>
      </c>
    </row>
    <row r="147" spans="1:10" ht="15.75" thickBot="1" x14ac:dyDescent="0.3">
      <c r="A147" s="8">
        <v>19906</v>
      </c>
      <c r="B147" s="61">
        <v>14718</v>
      </c>
      <c r="C147" s="6">
        <v>146</v>
      </c>
      <c r="D147" s="7" t="s">
        <v>173</v>
      </c>
      <c r="E147" s="7" t="s">
        <v>175</v>
      </c>
      <c r="F147" s="9">
        <v>390</v>
      </c>
      <c r="G147" s="64">
        <f>VLOOKUP(A147,'Relatório Vendas por Pedido'!$A$2:$G$252,7,FALSE)</f>
        <v>380</v>
      </c>
      <c r="H147" t="str">
        <f t="shared" si="2"/>
        <v>ERRO</v>
      </c>
      <c r="I147" s="64">
        <v>10</v>
      </c>
      <c r="J147" t="s">
        <v>407</v>
      </c>
    </row>
    <row r="148" spans="1:10" ht="15.75" thickBot="1" x14ac:dyDescent="0.3">
      <c r="A148" s="8">
        <v>19699</v>
      </c>
      <c r="B148" s="61">
        <v>4900</v>
      </c>
      <c r="C148" s="6">
        <v>147</v>
      </c>
      <c r="D148" s="7" t="s">
        <v>176</v>
      </c>
      <c r="E148" s="7" t="s">
        <v>177</v>
      </c>
      <c r="F148" s="9">
        <v>1760</v>
      </c>
      <c r="G148" s="64">
        <f>VLOOKUP(A148,'Relatório Vendas por Pedido'!$A$2:$G$252,7,FALSE)</f>
        <v>1760</v>
      </c>
      <c r="H148" t="str">
        <f t="shared" si="2"/>
        <v>OK</v>
      </c>
      <c r="I148" s="64" t="s">
        <v>411</v>
      </c>
    </row>
    <row r="149" spans="1:10" ht="15.75" thickBot="1" x14ac:dyDescent="0.3">
      <c r="A149" s="8">
        <v>19648</v>
      </c>
      <c r="B149" s="61">
        <v>4875</v>
      </c>
      <c r="C149" s="6">
        <v>148</v>
      </c>
      <c r="D149" s="7" t="s">
        <v>178</v>
      </c>
      <c r="E149" s="7" t="s">
        <v>179</v>
      </c>
      <c r="F149" s="9">
        <v>2049</v>
      </c>
      <c r="G149" s="64">
        <f>VLOOKUP(A149,'Relatório Vendas por Pedido'!$A$2:$G$252,7,FALSE)</f>
        <v>2049</v>
      </c>
      <c r="H149" t="str">
        <f t="shared" si="2"/>
        <v>OK</v>
      </c>
      <c r="I149" s="64" t="s">
        <v>411</v>
      </c>
    </row>
    <row r="150" spans="1:10" ht="15.75" thickBot="1" x14ac:dyDescent="0.3">
      <c r="A150" s="8">
        <v>19755</v>
      </c>
      <c r="B150" s="61">
        <v>4894</v>
      </c>
      <c r="C150" s="6">
        <v>149</v>
      </c>
      <c r="D150" s="7" t="s">
        <v>178</v>
      </c>
      <c r="E150" s="7" t="s">
        <v>180</v>
      </c>
      <c r="F150" s="9">
        <v>3630.86</v>
      </c>
      <c r="G150" s="64">
        <f>VLOOKUP(A150,'Relatório Vendas por Pedido'!$A$2:$G$252,7,FALSE)</f>
        <v>3630.86</v>
      </c>
      <c r="H150" t="str">
        <f t="shared" si="2"/>
        <v>OK</v>
      </c>
      <c r="I150" s="64" t="s">
        <v>411</v>
      </c>
    </row>
    <row r="151" spans="1:10" ht="15.75" thickBot="1" x14ac:dyDescent="0.3">
      <c r="A151" s="8">
        <v>19886</v>
      </c>
      <c r="B151" s="61">
        <v>4930</v>
      </c>
      <c r="C151" s="6">
        <v>150</v>
      </c>
      <c r="D151" s="7" t="s">
        <v>178</v>
      </c>
      <c r="E151" s="7" t="s">
        <v>181</v>
      </c>
      <c r="F151" s="9">
        <v>1260.96</v>
      </c>
      <c r="G151" s="64">
        <f>VLOOKUP(A151,'Relatório Vendas por Pedido'!$A$2:$G$252,7,FALSE)</f>
        <v>1260.96</v>
      </c>
      <c r="H151" t="str">
        <f t="shared" si="2"/>
        <v>OK</v>
      </c>
      <c r="I151" s="64" t="s">
        <v>411</v>
      </c>
    </row>
    <row r="152" spans="1:10" ht="15.75" thickBot="1" x14ac:dyDescent="0.3">
      <c r="A152" s="8">
        <v>19678</v>
      </c>
      <c r="B152" s="61">
        <v>4901</v>
      </c>
      <c r="C152" s="6">
        <v>151</v>
      </c>
      <c r="D152" s="7" t="s">
        <v>182</v>
      </c>
      <c r="E152" s="7" t="s">
        <v>183</v>
      </c>
      <c r="F152" s="9">
        <v>2651.15</v>
      </c>
      <c r="G152" s="64">
        <f>VLOOKUP(A152,'Relatório Vendas por Pedido'!$A$2:$G$252,7,FALSE)</f>
        <v>2651.15</v>
      </c>
      <c r="H152" t="str">
        <f t="shared" si="2"/>
        <v>OK</v>
      </c>
      <c r="I152" s="64" t="s">
        <v>411</v>
      </c>
    </row>
    <row r="153" spans="1:10" ht="15.75" thickBot="1" x14ac:dyDescent="0.3">
      <c r="A153" s="8">
        <v>19645</v>
      </c>
      <c r="B153" s="61">
        <v>14541</v>
      </c>
      <c r="C153" s="6">
        <v>152</v>
      </c>
      <c r="D153" s="7" t="s">
        <v>184</v>
      </c>
      <c r="E153" s="7" t="s">
        <v>185</v>
      </c>
      <c r="F153" s="9">
        <v>361</v>
      </c>
      <c r="G153" s="64">
        <f>VLOOKUP(A153,'Relatório Vendas por Pedido'!$A$2:$G$252,7,FALSE)</f>
        <v>361</v>
      </c>
      <c r="H153" t="str">
        <f t="shared" si="2"/>
        <v>OK</v>
      </c>
      <c r="I153" s="64" t="s">
        <v>411</v>
      </c>
    </row>
    <row r="154" spans="1:10" ht="15.75" thickBot="1" x14ac:dyDescent="0.3">
      <c r="A154" s="8">
        <v>19806</v>
      </c>
      <c r="B154" s="61">
        <v>14661</v>
      </c>
      <c r="C154" s="6">
        <v>153</v>
      </c>
      <c r="D154" s="7" t="s">
        <v>184</v>
      </c>
      <c r="E154" s="7" t="s">
        <v>186</v>
      </c>
      <c r="F154" s="9">
        <v>361</v>
      </c>
      <c r="G154" s="64">
        <f>VLOOKUP(A154,'Relatório Vendas por Pedido'!$A$2:$G$252,7,FALSE)</f>
        <v>361</v>
      </c>
      <c r="H154" t="str">
        <f t="shared" si="2"/>
        <v>OK</v>
      </c>
      <c r="I154" s="64" t="s">
        <v>411</v>
      </c>
    </row>
    <row r="155" spans="1:10" ht="15.75" thickBot="1" x14ac:dyDescent="0.3">
      <c r="A155" s="8">
        <v>19927</v>
      </c>
      <c r="B155" s="61">
        <v>14733</v>
      </c>
      <c r="C155" s="6">
        <v>154</v>
      </c>
      <c r="D155" s="7" t="s">
        <v>184</v>
      </c>
      <c r="E155" s="7" t="s">
        <v>187</v>
      </c>
      <c r="F155" s="9">
        <v>361</v>
      </c>
      <c r="G155" s="64">
        <f>VLOOKUP(A155,'Relatório Vendas por Pedido'!$A$2:$G$252,7,FALSE)</f>
        <v>361</v>
      </c>
      <c r="H155" t="str">
        <f t="shared" si="2"/>
        <v>OK</v>
      </c>
      <c r="I155" s="64" t="s">
        <v>411</v>
      </c>
    </row>
    <row r="156" spans="1:10" ht="15.75" thickBot="1" x14ac:dyDescent="0.3">
      <c r="A156" s="8">
        <v>19725</v>
      </c>
      <c r="B156" s="61">
        <v>14598</v>
      </c>
      <c r="C156" s="6">
        <v>155</v>
      </c>
      <c r="D156" s="7" t="s">
        <v>188</v>
      </c>
      <c r="E156" s="7" t="s">
        <v>189</v>
      </c>
      <c r="F156" s="9">
        <v>412.96</v>
      </c>
      <c r="G156" s="64">
        <f>VLOOKUP(A156,'Relatório Vendas por Pedido'!$A$2:$G$252,7,FALSE)</f>
        <v>398.96</v>
      </c>
      <c r="H156" t="str">
        <f t="shared" si="2"/>
        <v>ERRO</v>
      </c>
      <c r="I156" s="64">
        <v>14</v>
      </c>
      <c r="J156" t="s">
        <v>407</v>
      </c>
    </row>
    <row r="157" spans="1:10" ht="15.75" thickBot="1" x14ac:dyDescent="0.3">
      <c r="A157" s="8">
        <v>19805</v>
      </c>
      <c r="B157" s="61">
        <v>4897</v>
      </c>
      <c r="C157" s="6">
        <v>156</v>
      </c>
      <c r="D157" s="7" t="s">
        <v>190</v>
      </c>
      <c r="E157" s="7" t="s">
        <v>191</v>
      </c>
      <c r="F157" s="9">
        <v>2768.46</v>
      </c>
      <c r="G157" s="64">
        <f>VLOOKUP(A157,'Relatório Vendas por Pedido'!$A$2:$G$252,7,FALSE)</f>
        <v>2768.46</v>
      </c>
      <c r="H157" t="str">
        <f t="shared" si="2"/>
        <v>OK</v>
      </c>
      <c r="I157" s="64" t="s">
        <v>411</v>
      </c>
    </row>
    <row r="158" spans="1:10" ht="15.75" thickBot="1" x14ac:dyDescent="0.3">
      <c r="A158" s="8">
        <v>19859</v>
      </c>
      <c r="B158" s="61">
        <v>4913</v>
      </c>
      <c r="C158" s="6">
        <v>157</v>
      </c>
      <c r="D158" s="7" t="s">
        <v>192</v>
      </c>
      <c r="E158" s="7" t="s">
        <v>193</v>
      </c>
      <c r="F158" s="9">
        <v>1187.4000000000001</v>
      </c>
      <c r="G158" s="64">
        <f>VLOOKUP(A158,'Relatório Vendas por Pedido'!$A$2:$G$252,7,FALSE)</f>
        <v>1187.4000000000001</v>
      </c>
      <c r="H158" t="str">
        <f t="shared" si="2"/>
        <v>OK</v>
      </c>
      <c r="I158" s="64" t="s">
        <v>411</v>
      </c>
    </row>
    <row r="159" spans="1:10" ht="15.75" thickBot="1" x14ac:dyDescent="0.3">
      <c r="A159" s="8">
        <v>16620</v>
      </c>
      <c r="B159" s="61">
        <v>4937</v>
      </c>
      <c r="C159" s="6">
        <v>158</v>
      </c>
      <c r="D159" s="7" t="s">
        <v>194</v>
      </c>
      <c r="E159" s="7" t="s">
        <v>195</v>
      </c>
      <c r="F159" s="9">
        <v>5495.4</v>
      </c>
      <c r="G159" s="64">
        <f>VLOOKUP(A159,'Relatório Vendas por Pedido'!$A$2:$G$252,7,FALSE)</f>
        <v>5495.4</v>
      </c>
      <c r="H159" t="str">
        <f t="shared" si="2"/>
        <v>OK</v>
      </c>
      <c r="I159" s="64" t="s">
        <v>411</v>
      </c>
    </row>
    <row r="160" spans="1:10" ht="15.75" thickBot="1" x14ac:dyDescent="0.3">
      <c r="A160" s="8">
        <v>19744</v>
      </c>
      <c r="B160" s="61">
        <v>4910</v>
      </c>
      <c r="C160" s="6">
        <v>159</v>
      </c>
      <c r="D160" s="7" t="s">
        <v>196</v>
      </c>
      <c r="E160" s="7" t="s">
        <v>197</v>
      </c>
      <c r="F160" s="9">
        <v>150</v>
      </c>
      <c r="G160" s="64">
        <f>VLOOKUP(A160,'Relatório Vendas por Pedido'!$A$2:$G$252,7,FALSE)</f>
        <v>150</v>
      </c>
      <c r="H160" t="str">
        <f t="shared" si="2"/>
        <v>OK</v>
      </c>
      <c r="I160" s="64" t="s">
        <v>411</v>
      </c>
    </row>
    <row r="161" spans="1:10" ht="15.75" thickBot="1" x14ac:dyDescent="0.3">
      <c r="A161" s="8">
        <v>19867</v>
      </c>
      <c r="B161" s="61">
        <v>14695</v>
      </c>
      <c r="C161" s="6">
        <v>160</v>
      </c>
      <c r="D161" s="7" t="s">
        <v>198</v>
      </c>
      <c r="E161" s="7" t="s">
        <v>199</v>
      </c>
      <c r="F161" s="9">
        <v>336</v>
      </c>
      <c r="G161" s="64">
        <f>VLOOKUP(A161,'Relatório Vendas por Pedido'!$A$2:$G$252,7,FALSE)</f>
        <v>336</v>
      </c>
      <c r="H161" t="str">
        <f t="shared" si="2"/>
        <v>OK</v>
      </c>
      <c r="I161" s="64" t="s">
        <v>411</v>
      </c>
    </row>
    <row r="162" spans="1:10" ht="15.75" thickBot="1" x14ac:dyDescent="0.3">
      <c r="A162" s="8">
        <v>19643</v>
      </c>
      <c r="B162" s="61">
        <v>14539</v>
      </c>
      <c r="C162" s="6">
        <v>161</v>
      </c>
      <c r="D162" s="7" t="s">
        <v>200</v>
      </c>
      <c r="E162" s="7" t="s">
        <v>201</v>
      </c>
      <c r="F162" s="9">
        <v>180</v>
      </c>
      <c r="G162" s="64">
        <f>VLOOKUP(A162,'Relatório Vendas por Pedido'!$A$2:$G$252,7,FALSE)</f>
        <v>168</v>
      </c>
      <c r="H162" t="str">
        <f t="shared" si="2"/>
        <v>ERRO</v>
      </c>
      <c r="I162" s="64">
        <v>12</v>
      </c>
      <c r="J162" t="s">
        <v>407</v>
      </c>
    </row>
    <row r="163" spans="1:10" ht="15.75" thickBot="1" x14ac:dyDescent="0.3">
      <c r="A163" s="8">
        <v>19687</v>
      </c>
      <c r="B163" s="61">
        <v>14567</v>
      </c>
      <c r="C163" s="6">
        <v>162</v>
      </c>
      <c r="D163" s="7" t="s">
        <v>200</v>
      </c>
      <c r="E163" s="7" t="s">
        <v>202</v>
      </c>
      <c r="F163" s="9">
        <v>134</v>
      </c>
      <c r="G163" s="64">
        <f>VLOOKUP(A163,'Relatório Vendas por Pedido'!$A$2:$G$252,7,FALSE)</f>
        <v>120</v>
      </c>
      <c r="H163" t="str">
        <f t="shared" si="2"/>
        <v>ERRO</v>
      </c>
      <c r="I163" s="64">
        <v>14</v>
      </c>
      <c r="J163" t="s">
        <v>407</v>
      </c>
    </row>
    <row r="164" spans="1:10" ht="15.75" thickBot="1" x14ac:dyDescent="0.3">
      <c r="A164" s="8">
        <v>19720</v>
      </c>
      <c r="B164" s="61">
        <v>14595</v>
      </c>
      <c r="C164" s="6">
        <v>163</v>
      </c>
      <c r="D164" s="7" t="s">
        <v>200</v>
      </c>
      <c r="E164" s="7" t="s">
        <v>203</v>
      </c>
      <c r="F164" s="9">
        <v>192</v>
      </c>
      <c r="G164" s="64">
        <f>VLOOKUP(A164,'Relatório Vendas por Pedido'!$A$2:$G$252,7,FALSE)</f>
        <v>180</v>
      </c>
      <c r="H164" t="str">
        <f t="shared" si="2"/>
        <v>ERRO</v>
      </c>
      <c r="I164" s="64">
        <v>12</v>
      </c>
      <c r="J164" t="s">
        <v>407</v>
      </c>
    </row>
    <row r="165" spans="1:10" ht="15.75" thickBot="1" x14ac:dyDescent="0.3">
      <c r="A165" s="8">
        <v>19807</v>
      </c>
      <c r="B165" s="61">
        <v>14670</v>
      </c>
      <c r="C165" s="6">
        <v>164</v>
      </c>
      <c r="D165" s="7" t="s">
        <v>200</v>
      </c>
      <c r="E165" s="7" t="s">
        <v>204</v>
      </c>
      <c r="F165" s="9">
        <v>182</v>
      </c>
      <c r="G165" s="64">
        <f>VLOOKUP(A165,'Relatório Vendas por Pedido'!$A$2:$G$252,7,FALSE)</f>
        <v>168</v>
      </c>
      <c r="H165" t="str">
        <f t="shared" si="2"/>
        <v>ERRO</v>
      </c>
      <c r="I165" s="64">
        <v>14</v>
      </c>
      <c r="J165" t="s">
        <v>407</v>
      </c>
    </row>
    <row r="166" spans="1:10" ht="15.75" thickBot="1" x14ac:dyDescent="0.3">
      <c r="A166" s="8">
        <v>19868</v>
      </c>
      <c r="B166" s="61">
        <v>14701</v>
      </c>
      <c r="C166" s="6">
        <v>165</v>
      </c>
      <c r="D166" s="7" t="s">
        <v>200</v>
      </c>
      <c r="E166" s="7" t="s">
        <v>205</v>
      </c>
      <c r="F166" s="9">
        <v>180</v>
      </c>
      <c r="G166" s="64">
        <f>VLOOKUP(A166,'Relatório Vendas por Pedido'!$A$2:$G$252,7,FALSE)</f>
        <v>168</v>
      </c>
      <c r="H166" t="str">
        <f t="shared" si="2"/>
        <v>ERRO</v>
      </c>
      <c r="I166" s="64">
        <v>12</v>
      </c>
      <c r="J166" t="s">
        <v>407</v>
      </c>
    </row>
    <row r="167" spans="1:10" ht="15.75" thickBot="1" x14ac:dyDescent="0.3">
      <c r="A167" s="8">
        <v>19661</v>
      </c>
      <c r="B167" s="61">
        <v>14549</v>
      </c>
      <c r="C167" s="6">
        <v>166</v>
      </c>
      <c r="D167" s="7" t="s">
        <v>206</v>
      </c>
      <c r="E167" s="7" t="s">
        <v>207</v>
      </c>
      <c r="F167" s="9">
        <v>40</v>
      </c>
      <c r="G167" s="64">
        <f>VLOOKUP(A167,'Relatório Vendas por Pedido'!$A$2:$G$252,7,FALSE)</f>
        <v>40</v>
      </c>
      <c r="H167" t="str">
        <f t="shared" si="2"/>
        <v>OK</v>
      </c>
      <c r="I167" s="64" t="s">
        <v>411</v>
      </c>
    </row>
    <row r="168" spans="1:10" ht="15.75" thickBot="1" x14ac:dyDescent="0.3">
      <c r="A168" s="8">
        <v>19821</v>
      </c>
      <c r="B168" s="61">
        <v>4904</v>
      </c>
      <c r="C168" s="6">
        <v>167</v>
      </c>
      <c r="D168" s="7" t="s">
        <v>208</v>
      </c>
      <c r="E168" s="7" t="s">
        <v>209</v>
      </c>
      <c r="F168" s="9">
        <v>280</v>
      </c>
      <c r="G168" s="64">
        <f>VLOOKUP(A168,'Relatório Vendas por Pedido'!$A$2:$G$252,7,FALSE)</f>
        <v>280</v>
      </c>
      <c r="H168" t="str">
        <f t="shared" si="2"/>
        <v>OK</v>
      </c>
      <c r="I168" s="64" t="s">
        <v>411</v>
      </c>
    </row>
    <row r="169" spans="1:10" ht="15.75" thickBot="1" x14ac:dyDescent="0.3">
      <c r="A169" s="8">
        <v>19890</v>
      </c>
      <c r="B169" s="61">
        <v>4931</v>
      </c>
      <c r="C169" s="6">
        <v>168</v>
      </c>
      <c r="D169" s="7" t="s">
        <v>210</v>
      </c>
      <c r="E169" s="7" t="s">
        <v>211</v>
      </c>
      <c r="F169" s="9">
        <v>109</v>
      </c>
      <c r="G169" s="64">
        <f>VLOOKUP(A169,'Relatório Vendas por Pedido'!$A$2:$G$252,7,FALSE)</f>
        <v>109</v>
      </c>
      <c r="H169" t="str">
        <f t="shared" si="2"/>
        <v>OK</v>
      </c>
      <c r="I169" s="64" t="s">
        <v>411</v>
      </c>
    </row>
    <row r="170" spans="1:10" ht="15.75" thickBot="1" x14ac:dyDescent="0.3">
      <c r="A170" s="8">
        <v>19814</v>
      </c>
      <c r="B170" s="61">
        <v>4928</v>
      </c>
      <c r="C170" s="6">
        <v>169</v>
      </c>
      <c r="D170" s="7" t="s">
        <v>212</v>
      </c>
      <c r="E170" s="7" t="s">
        <v>213</v>
      </c>
      <c r="F170" s="9">
        <v>1540</v>
      </c>
      <c r="G170" s="64">
        <f>VLOOKUP(A170,'Relatório Vendas por Pedido'!$A$2:$G$252,7,FALSE)</f>
        <v>1540</v>
      </c>
      <c r="H170" t="str">
        <f t="shared" si="2"/>
        <v>OK</v>
      </c>
      <c r="I170" s="64" t="s">
        <v>411</v>
      </c>
    </row>
    <row r="171" spans="1:10" ht="15.75" thickBot="1" x14ac:dyDescent="0.3">
      <c r="A171" s="8">
        <v>19796</v>
      </c>
      <c r="B171" s="61">
        <v>14651</v>
      </c>
      <c r="C171" s="6">
        <v>170</v>
      </c>
      <c r="D171" s="7" t="s">
        <v>214</v>
      </c>
      <c r="E171" s="7" t="s">
        <v>215</v>
      </c>
      <c r="F171" s="9">
        <v>20</v>
      </c>
      <c r="G171" s="64">
        <f>VLOOKUP(A171,'Relatório Vendas por Pedido'!$A$2:$G$252,7,FALSE)</f>
        <v>20</v>
      </c>
      <c r="H171" t="str">
        <f t="shared" si="2"/>
        <v>OK</v>
      </c>
      <c r="I171" s="64" t="s">
        <v>411</v>
      </c>
    </row>
    <row r="172" spans="1:10" ht="15.75" thickBot="1" x14ac:dyDescent="0.3">
      <c r="A172" s="8">
        <v>19811</v>
      </c>
      <c r="B172" s="61">
        <v>14660</v>
      </c>
      <c r="C172" s="6">
        <v>171</v>
      </c>
      <c r="D172" s="7" t="s">
        <v>214</v>
      </c>
      <c r="E172" s="7" t="s">
        <v>216</v>
      </c>
      <c r="F172" s="9">
        <v>137</v>
      </c>
      <c r="G172" s="64">
        <f>VLOOKUP(A172,'Relatório Vendas por Pedido'!$A$2:$G$252,7,FALSE)</f>
        <v>120</v>
      </c>
      <c r="H172" t="str">
        <f t="shared" si="2"/>
        <v>ERRO</v>
      </c>
      <c r="I172" s="64">
        <v>17</v>
      </c>
      <c r="J172" t="s">
        <v>417</v>
      </c>
    </row>
    <row r="173" spans="1:10" ht="15.75" thickBot="1" x14ac:dyDescent="0.3">
      <c r="A173" s="8">
        <v>19658</v>
      </c>
      <c r="B173" s="61">
        <v>4927</v>
      </c>
      <c r="C173" s="6">
        <v>172</v>
      </c>
      <c r="D173" s="7" t="s">
        <v>217</v>
      </c>
      <c r="E173" s="7" t="s">
        <v>218</v>
      </c>
      <c r="F173" s="9">
        <v>2114.31</v>
      </c>
      <c r="G173" s="64">
        <f>VLOOKUP(A173,'Relatório Vendas por Pedido'!$A$2:$G$252,7,FALSE)</f>
        <v>2114.31</v>
      </c>
      <c r="H173" t="str">
        <f t="shared" si="2"/>
        <v>OK</v>
      </c>
      <c r="I173" s="64" t="s">
        <v>411</v>
      </c>
    </row>
    <row r="174" spans="1:10" ht="15.75" thickBot="1" x14ac:dyDescent="0.3">
      <c r="A174" s="8">
        <v>19714</v>
      </c>
      <c r="B174" s="61">
        <v>14592</v>
      </c>
      <c r="C174" s="6">
        <v>173</v>
      </c>
      <c r="D174" s="7" t="s">
        <v>219</v>
      </c>
      <c r="E174" s="7" t="s">
        <v>220</v>
      </c>
      <c r="F174" s="9">
        <v>692.5</v>
      </c>
      <c r="G174" s="64">
        <f>VLOOKUP(A174,'Relatório Vendas por Pedido'!$A$2:$G$252,7,FALSE)</f>
        <v>682.5</v>
      </c>
      <c r="H174" t="str">
        <f t="shared" si="2"/>
        <v>ERRO</v>
      </c>
      <c r="I174" s="64">
        <v>10</v>
      </c>
      <c r="J174" t="s">
        <v>407</v>
      </c>
    </row>
    <row r="175" spans="1:10" ht="15.75" thickBot="1" x14ac:dyDescent="0.3">
      <c r="A175" s="8">
        <v>19904</v>
      </c>
      <c r="B175" s="61">
        <v>14716</v>
      </c>
      <c r="C175" s="6">
        <v>174</v>
      </c>
      <c r="D175" s="7" t="s">
        <v>219</v>
      </c>
      <c r="E175" s="7" t="s">
        <v>221</v>
      </c>
      <c r="F175" s="9">
        <v>693</v>
      </c>
      <c r="G175" s="64">
        <f>VLOOKUP(A175,'Relatório Vendas por Pedido'!$A$2:$G$252,7,FALSE)</f>
        <v>682.43</v>
      </c>
      <c r="H175" t="str">
        <f t="shared" si="2"/>
        <v>ERRO</v>
      </c>
      <c r="I175" s="64">
        <v>10.57000000000005</v>
      </c>
      <c r="J175" t="s">
        <v>407</v>
      </c>
    </row>
    <row r="176" spans="1:10" ht="15.75" thickBot="1" x14ac:dyDescent="0.3">
      <c r="A176" s="8">
        <v>19624</v>
      </c>
      <c r="B176" s="61">
        <v>4883</v>
      </c>
      <c r="C176" s="6">
        <v>175</v>
      </c>
      <c r="D176" s="7" t="s">
        <v>222</v>
      </c>
      <c r="E176" s="7" t="s">
        <v>223</v>
      </c>
      <c r="F176" s="9">
        <v>2893.6</v>
      </c>
      <c r="G176" s="64">
        <f>VLOOKUP(A176,'Relatório Vendas por Pedido'!$A$2:$G$252,7,FALSE)</f>
        <v>2893.6</v>
      </c>
      <c r="H176" t="str">
        <f t="shared" si="2"/>
        <v>OK</v>
      </c>
      <c r="I176" s="64" t="s">
        <v>411</v>
      </c>
    </row>
    <row r="177" spans="1:9" ht="15.75" thickBot="1" x14ac:dyDescent="0.3">
      <c r="A177" s="8">
        <v>19822</v>
      </c>
      <c r="B177" s="61">
        <v>14667</v>
      </c>
      <c r="C177" s="6">
        <v>176</v>
      </c>
      <c r="D177" s="7" t="s">
        <v>224</v>
      </c>
      <c r="E177" s="7" t="s">
        <v>225</v>
      </c>
      <c r="F177" s="9">
        <v>622.44000000000005</v>
      </c>
      <c r="G177" s="64">
        <f>VLOOKUP(A177,'Relatório Vendas por Pedido'!$A$2:$G$252,7,FALSE)</f>
        <v>622.44000000000005</v>
      </c>
      <c r="H177" t="str">
        <f t="shared" si="2"/>
        <v>OK</v>
      </c>
      <c r="I177" s="64" t="s">
        <v>411</v>
      </c>
    </row>
    <row r="178" spans="1:9" ht="15.75" thickBot="1" x14ac:dyDescent="0.3">
      <c r="A178" s="8">
        <v>19491</v>
      </c>
      <c r="B178" s="61">
        <v>14732</v>
      </c>
      <c r="C178" s="6">
        <v>177</v>
      </c>
      <c r="D178" s="7" t="s">
        <v>226</v>
      </c>
      <c r="E178" s="7" t="s">
        <v>227</v>
      </c>
      <c r="F178" s="9">
        <v>210</v>
      </c>
      <c r="G178" s="64">
        <f>VLOOKUP(A178,'Relatório Vendas por Pedido'!$A$2:$G$252,7,FALSE)</f>
        <v>210</v>
      </c>
      <c r="H178" t="str">
        <f t="shared" si="2"/>
        <v>OK</v>
      </c>
      <c r="I178" s="64" t="s">
        <v>411</v>
      </c>
    </row>
    <row r="179" spans="1:9" ht="15.75" thickBot="1" x14ac:dyDescent="0.3">
      <c r="A179" s="8">
        <v>19879</v>
      </c>
      <c r="B179" s="61">
        <v>14704</v>
      </c>
      <c r="C179" s="6">
        <v>178</v>
      </c>
      <c r="D179" s="7" t="s">
        <v>226</v>
      </c>
      <c r="E179" s="7" t="s">
        <v>228</v>
      </c>
      <c r="F179" s="9">
        <v>8.44</v>
      </c>
      <c r="G179" s="64">
        <f>VLOOKUP(A179,'Relatório Vendas por Pedido'!$A$2:$G$252,7,FALSE)</f>
        <v>8.44</v>
      </c>
      <c r="H179" t="str">
        <f t="shared" si="2"/>
        <v>OK</v>
      </c>
      <c r="I179" s="64" t="s">
        <v>411</v>
      </c>
    </row>
    <row r="180" spans="1:9" ht="15.75" thickBot="1" x14ac:dyDescent="0.3">
      <c r="A180" s="8">
        <v>19689</v>
      </c>
      <c r="B180" s="61">
        <v>14566</v>
      </c>
      <c r="C180" s="6">
        <v>179</v>
      </c>
      <c r="D180" s="7" t="s">
        <v>229</v>
      </c>
      <c r="E180" s="7" t="s">
        <v>230</v>
      </c>
      <c r="F180" s="9">
        <v>602.44000000000005</v>
      </c>
      <c r="G180" s="64">
        <f>VLOOKUP(A180,'Relatório Vendas por Pedido'!$A$2:$G$252,7,FALSE)</f>
        <v>602.44000000000005</v>
      </c>
      <c r="H180" t="str">
        <f t="shared" si="2"/>
        <v>OK</v>
      </c>
      <c r="I180" s="64" t="s">
        <v>411</v>
      </c>
    </row>
    <row r="181" spans="1:9" ht="15.75" thickBot="1" x14ac:dyDescent="0.3">
      <c r="A181" s="8">
        <v>19912</v>
      </c>
      <c r="B181" s="61">
        <v>14722</v>
      </c>
      <c r="C181" s="6">
        <v>180</v>
      </c>
      <c r="D181" s="7" t="s">
        <v>229</v>
      </c>
      <c r="E181" s="7" t="s">
        <v>231</v>
      </c>
      <c r="F181" s="9">
        <v>661.32</v>
      </c>
      <c r="G181" s="64">
        <f>VLOOKUP(A181,'Relatório Vendas por Pedido'!$A$2:$G$252,7,FALSE)</f>
        <v>661.32</v>
      </c>
      <c r="H181" t="str">
        <f t="shared" si="2"/>
        <v>OK</v>
      </c>
      <c r="I181" s="64" t="s">
        <v>411</v>
      </c>
    </row>
    <row r="182" spans="1:9" ht="15.75" thickBot="1" x14ac:dyDescent="0.3">
      <c r="A182" s="8">
        <v>19577</v>
      </c>
      <c r="B182" s="61">
        <v>4926</v>
      </c>
      <c r="C182" s="6">
        <v>181</v>
      </c>
      <c r="D182" s="7" t="s">
        <v>232</v>
      </c>
      <c r="E182" s="7" t="s">
        <v>233</v>
      </c>
      <c r="F182" s="9">
        <v>2017.71</v>
      </c>
      <c r="G182" s="64">
        <f>VLOOKUP(A182,'Relatório Vendas por Pedido'!$A$2:$G$252,7,FALSE)</f>
        <v>2017.71</v>
      </c>
      <c r="H182" t="str">
        <f t="shared" si="2"/>
        <v>OK</v>
      </c>
      <c r="I182" s="64" t="s">
        <v>411</v>
      </c>
    </row>
    <row r="183" spans="1:9" ht="15.75" thickBot="1" x14ac:dyDescent="0.3">
      <c r="A183" s="8">
        <v>19835</v>
      </c>
      <c r="B183" s="61">
        <v>14673</v>
      </c>
      <c r="C183" s="6">
        <v>182</v>
      </c>
      <c r="D183" s="7" t="s">
        <v>234</v>
      </c>
      <c r="E183" s="7" t="s">
        <v>235</v>
      </c>
      <c r="F183" s="9">
        <v>1176</v>
      </c>
      <c r="G183" s="64">
        <f>VLOOKUP(A183,'Relatório Vendas por Pedido'!$A$2:$G$252,7,FALSE)</f>
        <v>1176</v>
      </c>
      <c r="H183" t="str">
        <f t="shared" si="2"/>
        <v>OK</v>
      </c>
      <c r="I183" s="64" t="s">
        <v>411</v>
      </c>
    </row>
    <row r="184" spans="1:9" ht="15.75" thickBot="1" x14ac:dyDescent="0.3">
      <c r="A184" s="8">
        <v>19565</v>
      </c>
      <c r="B184" s="61">
        <v>4908</v>
      </c>
      <c r="C184" s="6">
        <v>183</v>
      </c>
      <c r="D184" s="7" t="s">
        <v>236</v>
      </c>
      <c r="E184" s="7" t="s">
        <v>237</v>
      </c>
      <c r="F184" s="9">
        <v>2175.38</v>
      </c>
      <c r="G184" s="64">
        <f>VLOOKUP(A184,'Relatório Vendas por Pedido'!$A$2:$G$252,7,FALSE)</f>
        <v>2175.38</v>
      </c>
      <c r="H184" t="str">
        <f t="shared" si="2"/>
        <v>OK</v>
      </c>
      <c r="I184" s="64" t="s">
        <v>411</v>
      </c>
    </row>
    <row r="185" spans="1:9" ht="15.75" thickBot="1" x14ac:dyDescent="0.3">
      <c r="A185" s="8">
        <v>19464</v>
      </c>
      <c r="B185" s="61">
        <v>4892</v>
      </c>
      <c r="C185" s="6">
        <v>184</v>
      </c>
      <c r="D185" s="7" t="s">
        <v>238</v>
      </c>
      <c r="E185" s="7" t="s">
        <v>239</v>
      </c>
      <c r="F185" s="9">
        <v>780</v>
      </c>
      <c r="G185" s="64">
        <f>VLOOKUP(A185,'Relatório Vendas por Pedido'!$A$2:$G$252,7,FALSE)</f>
        <v>780</v>
      </c>
      <c r="H185" t="str">
        <f t="shared" si="2"/>
        <v>OK</v>
      </c>
      <c r="I185" s="64" t="s">
        <v>411</v>
      </c>
    </row>
    <row r="186" spans="1:9" ht="15.75" thickBot="1" x14ac:dyDescent="0.3">
      <c r="A186" s="8">
        <v>19834</v>
      </c>
      <c r="B186" s="61">
        <v>4919</v>
      </c>
      <c r="C186" s="6">
        <v>185</v>
      </c>
      <c r="D186" s="7" t="s">
        <v>238</v>
      </c>
      <c r="E186" s="7" t="s">
        <v>240</v>
      </c>
      <c r="F186" s="9">
        <v>780</v>
      </c>
      <c r="G186" s="64">
        <f>VLOOKUP(A186,'Relatório Vendas por Pedido'!$A$2:$G$252,7,FALSE)</f>
        <v>780</v>
      </c>
      <c r="H186" t="str">
        <f t="shared" si="2"/>
        <v>OK</v>
      </c>
      <c r="I186" s="64" t="s">
        <v>411</v>
      </c>
    </row>
    <row r="187" spans="1:9" ht="15.75" thickBot="1" x14ac:dyDescent="0.3">
      <c r="A187" s="8">
        <v>19329</v>
      </c>
      <c r="B187" s="7"/>
      <c r="C187" s="6">
        <v>186</v>
      </c>
      <c r="D187" s="7" t="s">
        <v>241</v>
      </c>
      <c r="E187" s="7"/>
      <c r="F187" s="9">
        <v>72</v>
      </c>
      <c r="G187" s="64">
        <f>VLOOKUP(A187,'Relatório Vendas por Pedido'!$A$2:$G$252,7,FALSE)</f>
        <v>72</v>
      </c>
      <c r="H187" t="str">
        <f t="shared" si="2"/>
        <v>OK</v>
      </c>
      <c r="I187" s="64" t="s">
        <v>411</v>
      </c>
    </row>
    <row r="188" spans="1:9" ht="15.75" thickBot="1" x14ac:dyDescent="0.3">
      <c r="A188" s="8">
        <v>19781</v>
      </c>
      <c r="B188" s="61">
        <v>14635</v>
      </c>
      <c r="C188" s="6">
        <v>187</v>
      </c>
      <c r="D188" s="7" t="s">
        <v>242</v>
      </c>
      <c r="E188" s="7" t="s">
        <v>243</v>
      </c>
      <c r="F188" s="9">
        <v>345</v>
      </c>
      <c r="G188" s="64">
        <f>VLOOKUP(A188,'Relatório Vendas por Pedido'!$A$2:$G$252,7,FALSE)</f>
        <v>345</v>
      </c>
      <c r="H188" t="str">
        <f t="shared" si="2"/>
        <v>OK</v>
      </c>
      <c r="I188" s="64" t="s">
        <v>411</v>
      </c>
    </row>
    <row r="189" spans="1:9" ht="15.75" thickBot="1" x14ac:dyDescent="0.3">
      <c r="A189" s="8">
        <v>19922</v>
      </c>
      <c r="B189" s="61">
        <v>14724</v>
      </c>
      <c r="C189" s="6">
        <v>188</v>
      </c>
      <c r="D189" s="7" t="s">
        <v>242</v>
      </c>
      <c r="E189" s="7" t="s">
        <v>244</v>
      </c>
      <c r="F189" s="9">
        <v>138</v>
      </c>
      <c r="G189" s="64">
        <f>VLOOKUP(A189,'Relatório Vendas por Pedido'!$A$2:$G$252,7,FALSE)</f>
        <v>138</v>
      </c>
      <c r="H189" t="str">
        <f t="shared" si="2"/>
        <v>OK</v>
      </c>
      <c r="I189" s="64" t="s">
        <v>411</v>
      </c>
    </row>
    <row r="190" spans="1:9" ht="15.75" thickBot="1" x14ac:dyDescent="0.3">
      <c r="A190" s="8">
        <v>19660</v>
      </c>
      <c r="B190" s="61">
        <v>14548</v>
      </c>
      <c r="C190" s="6">
        <v>189</v>
      </c>
      <c r="D190" s="7" t="s">
        <v>245</v>
      </c>
      <c r="E190" s="7" t="s">
        <v>246</v>
      </c>
      <c r="F190" s="9">
        <v>112</v>
      </c>
      <c r="G190" s="64">
        <f>VLOOKUP(A190,'Relatório Vendas por Pedido'!$A$2:$G$252,7,FALSE)</f>
        <v>112</v>
      </c>
      <c r="H190" t="str">
        <f t="shared" si="2"/>
        <v>OK</v>
      </c>
      <c r="I190" s="64" t="s">
        <v>411</v>
      </c>
    </row>
    <row r="191" spans="1:9" ht="15.75" thickBot="1" x14ac:dyDescent="0.3">
      <c r="A191" s="8">
        <v>19715</v>
      </c>
      <c r="B191" s="61">
        <v>14586</v>
      </c>
      <c r="C191" s="6">
        <v>190</v>
      </c>
      <c r="D191" s="7" t="s">
        <v>245</v>
      </c>
      <c r="E191" s="7" t="s">
        <v>247</v>
      </c>
      <c r="F191" s="9">
        <v>108</v>
      </c>
      <c r="G191" s="64">
        <f>VLOOKUP(A191,'Relatório Vendas por Pedido'!$A$2:$G$252,7,FALSE)</f>
        <v>108</v>
      </c>
      <c r="H191" t="str">
        <f t="shared" si="2"/>
        <v>OK</v>
      </c>
      <c r="I191" s="64" t="s">
        <v>411</v>
      </c>
    </row>
    <row r="192" spans="1:9" ht="15.75" thickBot="1" x14ac:dyDescent="0.3">
      <c r="A192" s="8">
        <v>19865</v>
      </c>
      <c r="B192" s="61">
        <v>14693</v>
      </c>
      <c r="C192" s="6">
        <v>191</v>
      </c>
      <c r="D192" s="7" t="s">
        <v>248</v>
      </c>
      <c r="E192" s="7" t="s">
        <v>249</v>
      </c>
      <c r="F192" s="9">
        <v>182</v>
      </c>
      <c r="G192" s="64">
        <f>VLOOKUP(A192,'Relatório Vendas por Pedido'!$A$2:$G$252,7,FALSE)</f>
        <v>182</v>
      </c>
      <c r="H192" t="str">
        <f t="shared" si="2"/>
        <v>OK</v>
      </c>
      <c r="I192" s="64" t="s">
        <v>411</v>
      </c>
    </row>
    <row r="193" spans="1:10" ht="15.75" thickBot="1" x14ac:dyDescent="0.3">
      <c r="A193" s="8">
        <v>19895</v>
      </c>
      <c r="B193" s="61">
        <v>14712</v>
      </c>
      <c r="C193" s="6">
        <v>192</v>
      </c>
      <c r="D193" s="7" t="s">
        <v>248</v>
      </c>
      <c r="E193" s="7" t="s">
        <v>250</v>
      </c>
      <c r="F193" s="9">
        <v>572</v>
      </c>
      <c r="G193" s="64">
        <f>VLOOKUP(A193,'Relatório Vendas por Pedido'!$A$2:$G$252,7,FALSE)</f>
        <v>558</v>
      </c>
      <c r="H193" t="str">
        <f t="shared" si="2"/>
        <v>ERRO</v>
      </c>
      <c r="I193" s="64">
        <v>14</v>
      </c>
      <c r="J193" t="s">
        <v>407</v>
      </c>
    </row>
    <row r="194" spans="1:10" ht="15.75" thickBot="1" x14ac:dyDescent="0.3">
      <c r="A194" s="8">
        <v>19743</v>
      </c>
      <c r="B194" s="61">
        <v>4906</v>
      </c>
      <c r="C194" s="6">
        <v>193</v>
      </c>
      <c r="D194" s="7" t="s">
        <v>251</v>
      </c>
      <c r="E194" s="7" t="s">
        <v>252</v>
      </c>
      <c r="F194" s="9">
        <v>1490</v>
      </c>
      <c r="G194" s="64">
        <f>VLOOKUP(A194,'Relatório Vendas por Pedido'!$A$2:$G$252,7,FALSE)</f>
        <v>1490</v>
      </c>
      <c r="H194" t="str">
        <f t="shared" si="2"/>
        <v>OK</v>
      </c>
      <c r="I194" s="64" t="s">
        <v>411</v>
      </c>
    </row>
    <row r="195" spans="1:10" ht="15.75" thickBot="1" x14ac:dyDescent="0.3">
      <c r="A195" s="8">
        <v>19702</v>
      </c>
      <c r="B195" s="61">
        <v>14576</v>
      </c>
      <c r="C195" s="6">
        <v>194</v>
      </c>
      <c r="D195" s="7" t="s">
        <v>253</v>
      </c>
      <c r="E195" s="7" t="s">
        <v>254</v>
      </c>
      <c r="F195" s="9">
        <v>586.67999999999995</v>
      </c>
      <c r="G195" s="64">
        <f>VLOOKUP(A195,'Relatório Vendas por Pedido'!$A$2:$G$252,7,FALSE)</f>
        <v>574.67999999999995</v>
      </c>
      <c r="H195" t="str">
        <f t="shared" ref="H195:H254" si="3">IF(G195=F195,"OK","ERRO")</f>
        <v>ERRO</v>
      </c>
      <c r="I195" s="64">
        <v>12</v>
      </c>
      <c r="J195" t="s">
        <v>407</v>
      </c>
    </row>
    <row r="196" spans="1:10" ht="15.75" thickBot="1" x14ac:dyDescent="0.3">
      <c r="A196" s="8">
        <v>19675</v>
      </c>
      <c r="B196" s="61">
        <v>14559</v>
      </c>
      <c r="C196" s="6">
        <v>195</v>
      </c>
      <c r="D196" s="7" t="s">
        <v>255</v>
      </c>
      <c r="E196" s="7" t="s">
        <v>256</v>
      </c>
      <c r="F196" s="9">
        <v>120</v>
      </c>
      <c r="G196" s="64">
        <f>VLOOKUP(A196,'Relatório Vendas por Pedido'!$A$2:$G$252,7,FALSE)</f>
        <v>120</v>
      </c>
      <c r="H196" t="str">
        <f t="shared" si="3"/>
        <v>OK</v>
      </c>
      <c r="I196" s="64" t="s">
        <v>411</v>
      </c>
    </row>
    <row r="197" spans="1:10" ht="15.75" thickBot="1" x14ac:dyDescent="0.3">
      <c r="A197" s="8">
        <v>19782</v>
      </c>
      <c r="B197" s="61">
        <v>14637</v>
      </c>
      <c r="C197" s="6">
        <v>196</v>
      </c>
      <c r="D197" s="7" t="s">
        <v>257</v>
      </c>
      <c r="E197" s="7" t="s">
        <v>258</v>
      </c>
      <c r="F197" s="9">
        <v>160</v>
      </c>
      <c r="G197" s="64">
        <f>VLOOKUP(A197,'Relatório Vendas por Pedido'!$A$2:$G$252,7,FALSE)</f>
        <v>160</v>
      </c>
      <c r="H197" t="str">
        <f t="shared" si="3"/>
        <v>OK</v>
      </c>
      <c r="I197" s="64" t="s">
        <v>411</v>
      </c>
    </row>
    <row r="198" spans="1:10" ht="15.75" thickBot="1" x14ac:dyDescent="0.3">
      <c r="A198" s="8">
        <v>19840</v>
      </c>
      <c r="B198" s="61">
        <v>14676</v>
      </c>
      <c r="C198" s="6">
        <v>197</v>
      </c>
      <c r="D198" s="7" t="s">
        <v>257</v>
      </c>
      <c r="E198" s="7" t="s">
        <v>259</v>
      </c>
      <c r="F198" s="9">
        <v>120</v>
      </c>
      <c r="G198" s="64">
        <f>VLOOKUP(A198,'Relatório Vendas por Pedido'!$A$2:$G$252,7,FALSE)</f>
        <v>120</v>
      </c>
      <c r="H198" t="str">
        <f t="shared" si="3"/>
        <v>OK</v>
      </c>
      <c r="I198" s="64" t="s">
        <v>411</v>
      </c>
    </row>
    <row r="199" spans="1:10" ht="15.75" thickBot="1" x14ac:dyDescent="0.3">
      <c r="A199" s="8">
        <v>19913</v>
      </c>
      <c r="B199" s="61">
        <v>14731</v>
      </c>
      <c r="C199" s="6">
        <v>198</v>
      </c>
      <c r="D199" s="7" t="s">
        <v>257</v>
      </c>
      <c r="E199" s="7" t="s">
        <v>260</v>
      </c>
      <c r="F199" s="9">
        <v>210</v>
      </c>
      <c r="G199" s="64">
        <f>VLOOKUP(A199,'Relatório Vendas por Pedido'!$A$2:$G$252,7,FALSE)</f>
        <v>210</v>
      </c>
      <c r="H199" t="str">
        <f t="shared" si="3"/>
        <v>OK</v>
      </c>
      <c r="I199" s="64" t="s">
        <v>411</v>
      </c>
    </row>
    <row r="200" spans="1:10" ht="15.75" thickBot="1" x14ac:dyDescent="0.3">
      <c r="A200" s="8">
        <v>19791</v>
      </c>
      <c r="B200" s="61">
        <v>14645</v>
      </c>
      <c r="C200" s="6">
        <v>199</v>
      </c>
      <c r="D200" s="7" t="s">
        <v>261</v>
      </c>
      <c r="E200" s="7" t="s">
        <v>262</v>
      </c>
      <c r="F200" s="9">
        <v>541.34</v>
      </c>
      <c r="G200" s="64">
        <f>VLOOKUP(A200,'Relatório Vendas por Pedido'!$A$2:$G$252,7,FALSE)</f>
        <v>541.34</v>
      </c>
      <c r="H200" t="str">
        <f t="shared" si="3"/>
        <v>OK</v>
      </c>
      <c r="I200" s="64" t="s">
        <v>411</v>
      </c>
    </row>
    <row r="201" spans="1:10" ht="15.75" thickBot="1" x14ac:dyDescent="0.3">
      <c r="A201" s="8">
        <v>19929</v>
      </c>
      <c r="B201" s="61">
        <v>14734</v>
      </c>
      <c r="C201" s="6">
        <v>200</v>
      </c>
      <c r="D201" s="7" t="s">
        <v>261</v>
      </c>
      <c r="E201" s="7" t="s">
        <v>263</v>
      </c>
      <c r="F201" s="9">
        <v>435.84</v>
      </c>
      <c r="G201" s="64">
        <f>VLOOKUP(A201,'Relatório Vendas por Pedido'!$A$2:$G$252,7,FALSE)</f>
        <v>435.84</v>
      </c>
      <c r="H201" t="str">
        <f t="shared" si="3"/>
        <v>OK</v>
      </c>
      <c r="I201" s="64" t="s">
        <v>411</v>
      </c>
    </row>
    <row r="202" spans="1:10" ht="15.75" thickBot="1" x14ac:dyDescent="0.3">
      <c r="A202" s="8">
        <v>19898</v>
      </c>
      <c r="B202" s="61">
        <v>14710</v>
      </c>
      <c r="C202" s="6">
        <v>201</v>
      </c>
      <c r="D202" s="7" t="s">
        <v>264</v>
      </c>
      <c r="E202" s="7" t="s">
        <v>265</v>
      </c>
      <c r="F202" s="9">
        <v>128</v>
      </c>
      <c r="G202" s="64">
        <f>VLOOKUP(A202,'Relatório Vendas por Pedido'!$A$2:$G$252,7,FALSE)</f>
        <v>120</v>
      </c>
      <c r="H202" t="str">
        <f t="shared" si="3"/>
        <v>ERRO</v>
      </c>
      <c r="I202" s="64">
        <v>8</v>
      </c>
      <c r="J202" t="s">
        <v>407</v>
      </c>
    </row>
    <row r="203" spans="1:10" ht="15.75" thickBot="1" x14ac:dyDescent="0.3">
      <c r="A203" s="8">
        <v>19751</v>
      </c>
      <c r="B203" s="61">
        <v>14617</v>
      </c>
      <c r="C203" s="6">
        <v>202</v>
      </c>
      <c r="D203" s="7" t="s">
        <v>266</v>
      </c>
      <c r="E203" s="7" t="s">
        <v>267</v>
      </c>
      <c r="F203" s="9">
        <v>749.5</v>
      </c>
      <c r="G203" s="64">
        <f>VLOOKUP(A203,'Relatório Vendas por Pedido'!$A$2:$G$252,7,FALSE)</f>
        <v>740.5</v>
      </c>
      <c r="H203" t="str">
        <f t="shared" si="3"/>
        <v>ERRO</v>
      </c>
      <c r="I203" s="64">
        <v>9</v>
      </c>
      <c r="J203" t="s">
        <v>407</v>
      </c>
    </row>
    <row r="204" spans="1:10" ht="15.75" thickBot="1" x14ac:dyDescent="0.3">
      <c r="A204" s="8">
        <v>19885</v>
      </c>
      <c r="B204" s="61">
        <v>14706</v>
      </c>
      <c r="C204" s="6">
        <v>203</v>
      </c>
      <c r="D204" s="7" t="s">
        <v>268</v>
      </c>
      <c r="E204" s="7" t="s">
        <v>269</v>
      </c>
      <c r="F204" s="9">
        <v>9.9</v>
      </c>
      <c r="G204" s="64">
        <f>VLOOKUP(A204,'Relatório Vendas por Pedido'!$A$2:$G$252,7,FALSE)</f>
        <v>9.9</v>
      </c>
      <c r="H204" t="str">
        <f t="shared" si="3"/>
        <v>OK</v>
      </c>
      <c r="I204" s="64" t="s">
        <v>411</v>
      </c>
    </row>
    <row r="205" spans="1:10" ht="15.75" thickBot="1" x14ac:dyDescent="0.3">
      <c r="A205" s="8">
        <v>19766</v>
      </c>
      <c r="B205" s="61">
        <v>14629</v>
      </c>
      <c r="C205" s="6">
        <v>204</v>
      </c>
      <c r="D205" s="7" t="s">
        <v>270</v>
      </c>
      <c r="E205" s="7" t="s">
        <v>271</v>
      </c>
      <c r="F205" s="9">
        <v>634</v>
      </c>
      <c r="G205" s="64">
        <f>VLOOKUP(A205,'Relatório Vendas por Pedido'!$A$2:$G$252,7,FALSE)</f>
        <v>634</v>
      </c>
      <c r="H205" t="str">
        <f t="shared" si="3"/>
        <v>OK</v>
      </c>
      <c r="I205" s="64" t="s">
        <v>411</v>
      </c>
    </row>
    <row r="206" spans="1:10" ht="15.75" thickBot="1" x14ac:dyDescent="0.3">
      <c r="A206" s="8">
        <v>19837</v>
      </c>
      <c r="B206" s="61">
        <v>14675</v>
      </c>
      <c r="C206" s="6">
        <v>205</v>
      </c>
      <c r="D206" s="7" t="s">
        <v>272</v>
      </c>
      <c r="E206" s="7" t="s">
        <v>273</v>
      </c>
      <c r="F206" s="9">
        <v>330.5</v>
      </c>
      <c r="G206" s="64">
        <f>VLOOKUP(A206,'Relatório Vendas por Pedido'!$A$2:$G$252,7,FALSE)</f>
        <v>318.5</v>
      </c>
      <c r="H206" t="str">
        <f t="shared" si="3"/>
        <v>ERRO</v>
      </c>
      <c r="I206" s="64">
        <v>12</v>
      </c>
      <c r="J206" t="s">
        <v>407</v>
      </c>
    </row>
    <row r="207" spans="1:10" ht="15.75" thickBot="1" x14ac:dyDescent="0.3">
      <c r="A207" s="8">
        <v>19905</v>
      </c>
      <c r="B207" s="61">
        <v>14717</v>
      </c>
      <c r="C207" s="6">
        <v>206</v>
      </c>
      <c r="D207" s="7" t="s">
        <v>272</v>
      </c>
      <c r="E207" s="7" t="s">
        <v>274</v>
      </c>
      <c r="F207" s="9">
        <v>350.5</v>
      </c>
      <c r="G207" s="64">
        <f>VLOOKUP(A207,'Relatório Vendas por Pedido'!$A$2:$G$252,7,FALSE)</f>
        <v>338.5</v>
      </c>
      <c r="H207" t="str">
        <f t="shared" si="3"/>
        <v>ERRO</v>
      </c>
      <c r="I207" s="64">
        <v>12</v>
      </c>
      <c r="J207" t="s">
        <v>407</v>
      </c>
    </row>
    <row r="208" spans="1:10" ht="15.75" thickBot="1" x14ac:dyDescent="0.3">
      <c r="A208" s="12">
        <v>19691</v>
      </c>
      <c r="B208" s="61">
        <v>14571</v>
      </c>
      <c r="C208" s="10">
        <v>207</v>
      </c>
      <c r="D208" s="11" t="s">
        <v>275</v>
      </c>
      <c r="E208" s="12" t="s">
        <v>278</v>
      </c>
      <c r="F208" s="13">
        <v>2622</v>
      </c>
      <c r="G208" s="64">
        <f>VLOOKUP(A208,'Relatório Vendas por Pedido'!$A$2:$G$252,7,FALSE)</f>
        <v>2622</v>
      </c>
      <c r="H208" t="str">
        <f t="shared" si="3"/>
        <v>OK</v>
      </c>
      <c r="I208" s="64" t="s">
        <v>411</v>
      </c>
    </row>
    <row r="209" spans="1:10" ht="15" customHeight="1" thickBot="1" x14ac:dyDescent="0.3">
      <c r="A209" s="15"/>
      <c r="B209" s="7" t="s">
        <v>411</v>
      </c>
      <c r="C209" s="14"/>
      <c r="D209" s="1" t="s">
        <v>276</v>
      </c>
      <c r="E209" s="15"/>
      <c r="F209" s="16"/>
      <c r="G209" s="64" t="e">
        <f>VLOOKUP(A209,'Relatório Vendas por Pedido'!$A$2:$G$252,7,FALSE)</f>
        <v>#N/A</v>
      </c>
      <c r="H209" t="e">
        <f t="shared" si="3"/>
        <v>#N/A</v>
      </c>
      <c r="I209" s="64"/>
    </row>
    <row r="210" spans="1:10" ht="15.75" customHeight="1" thickBot="1" x14ac:dyDescent="0.3">
      <c r="A210" s="18"/>
      <c r="B210" s="7" t="s">
        <v>411</v>
      </c>
      <c r="C210" s="17"/>
      <c r="D210" s="2" t="s">
        <v>277</v>
      </c>
      <c r="E210" s="18"/>
      <c r="F210" s="19"/>
      <c r="G210" s="64" t="e">
        <f>VLOOKUP(A210,'Relatório Vendas por Pedido'!$A$2:$G$252,7,FALSE)</f>
        <v>#N/A</v>
      </c>
      <c r="H210" t="e">
        <f t="shared" si="3"/>
        <v>#N/A</v>
      </c>
      <c r="I210" s="64"/>
    </row>
    <row r="211" spans="1:10" ht="15.75" thickBot="1" x14ac:dyDescent="0.3">
      <c r="A211" s="8">
        <v>19924</v>
      </c>
      <c r="B211" s="61">
        <v>14728</v>
      </c>
      <c r="C211" s="6">
        <v>208</v>
      </c>
      <c r="D211" s="7" t="s">
        <v>275</v>
      </c>
      <c r="E211" s="7" t="s">
        <v>279</v>
      </c>
      <c r="F211" s="9">
        <v>1637.14</v>
      </c>
      <c r="G211" s="64">
        <f>VLOOKUP(A211,'Relatório Vendas por Pedido'!$A$2:$G$252,7,FALSE)</f>
        <v>1637.14</v>
      </c>
      <c r="H211" t="str">
        <f t="shared" si="3"/>
        <v>OK</v>
      </c>
      <c r="I211" s="64" t="s">
        <v>411</v>
      </c>
    </row>
    <row r="212" spans="1:10" ht="15.75" thickBot="1" x14ac:dyDescent="0.3">
      <c r="A212" s="8">
        <v>19605</v>
      </c>
      <c r="B212" s="61">
        <v>4877</v>
      </c>
      <c r="C212" s="6">
        <v>209</v>
      </c>
      <c r="D212" s="7" t="s">
        <v>280</v>
      </c>
      <c r="E212" s="7" t="s">
        <v>281</v>
      </c>
      <c r="F212" s="9">
        <v>500</v>
      </c>
      <c r="G212" s="64">
        <f>VLOOKUP(A212,'Relatório Vendas por Pedido'!$A$2:$G$252,7,FALSE)</f>
        <v>500</v>
      </c>
      <c r="H212" t="str">
        <f t="shared" si="3"/>
        <v>OK</v>
      </c>
      <c r="I212" s="64" t="s">
        <v>411</v>
      </c>
    </row>
    <row r="213" spans="1:10" ht="15.75" thickBot="1" x14ac:dyDescent="0.3">
      <c r="A213" s="8">
        <v>19897</v>
      </c>
      <c r="B213" s="61">
        <v>4932</v>
      </c>
      <c r="C213" s="6">
        <v>210</v>
      </c>
      <c r="D213" s="7" t="s">
        <v>282</v>
      </c>
      <c r="E213" s="7" t="s">
        <v>283</v>
      </c>
      <c r="F213" s="9">
        <v>1800</v>
      </c>
      <c r="G213" s="64">
        <f>VLOOKUP(A213,'Relatório Vendas por Pedido'!$A$2:$G$252,7,FALSE)</f>
        <v>1800</v>
      </c>
      <c r="H213" t="str">
        <f t="shared" si="3"/>
        <v>OK</v>
      </c>
      <c r="I213" s="64" t="s">
        <v>411</v>
      </c>
    </row>
    <row r="214" spans="1:10" ht="15.75" thickBot="1" x14ac:dyDescent="0.3">
      <c r="A214" s="8">
        <v>19860</v>
      </c>
      <c r="B214" s="61">
        <v>14696</v>
      </c>
      <c r="C214" s="6">
        <v>211</v>
      </c>
      <c r="D214" s="7" t="s">
        <v>284</v>
      </c>
      <c r="E214" s="7" t="s">
        <v>285</v>
      </c>
      <c r="F214" s="9">
        <v>648.65</v>
      </c>
      <c r="G214" s="64">
        <f>VLOOKUP(A214,'Relatório Vendas por Pedido'!$A$2:$G$252,7,FALSE)</f>
        <v>631.65</v>
      </c>
      <c r="H214" t="str">
        <f t="shared" si="3"/>
        <v>ERRO</v>
      </c>
      <c r="I214" s="64">
        <v>17</v>
      </c>
      <c r="J214" t="s">
        <v>407</v>
      </c>
    </row>
    <row r="215" spans="1:10" ht="15.75" thickBot="1" x14ac:dyDescent="0.3">
      <c r="A215" s="8">
        <v>19652</v>
      </c>
      <c r="B215" s="61">
        <v>14544</v>
      </c>
      <c r="C215" s="6">
        <v>212</v>
      </c>
      <c r="D215" s="7" t="s">
        <v>286</v>
      </c>
      <c r="E215" s="7" t="s">
        <v>287</v>
      </c>
      <c r="F215" s="9">
        <v>336</v>
      </c>
      <c r="G215" s="64">
        <f>VLOOKUP(A215,'Relatório Vendas por Pedido'!$A$2:$G$252,7,FALSE)</f>
        <v>336</v>
      </c>
      <c r="H215" t="str">
        <f t="shared" si="3"/>
        <v>OK</v>
      </c>
      <c r="I215" s="64" t="s">
        <v>411</v>
      </c>
    </row>
    <row r="216" spans="1:10" ht="15.75" thickBot="1" x14ac:dyDescent="0.3">
      <c r="A216" s="8">
        <v>19842</v>
      </c>
      <c r="B216" s="61">
        <v>14678</v>
      </c>
      <c r="C216" s="6">
        <v>213</v>
      </c>
      <c r="D216" s="7" t="s">
        <v>286</v>
      </c>
      <c r="E216" s="7" t="s">
        <v>288</v>
      </c>
      <c r="F216" s="9">
        <v>352</v>
      </c>
      <c r="G216" s="64">
        <f>VLOOKUP(A216,'Relatório Vendas por Pedido'!$A$2:$G$252,7,FALSE)</f>
        <v>352</v>
      </c>
      <c r="H216" t="str">
        <f t="shared" si="3"/>
        <v>OK</v>
      </c>
      <c r="I216" s="64" t="s">
        <v>411</v>
      </c>
    </row>
    <row r="217" spans="1:10" ht="15.75" thickBot="1" x14ac:dyDescent="0.3">
      <c r="A217" s="8">
        <v>19844</v>
      </c>
      <c r="B217" s="61">
        <v>14679</v>
      </c>
      <c r="C217" s="6">
        <v>214</v>
      </c>
      <c r="D217" s="7" t="s">
        <v>289</v>
      </c>
      <c r="E217" s="7" t="s">
        <v>290</v>
      </c>
      <c r="F217" s="9">
        <v>227.5</v>
      </c>
      <c r="G217" s="64">
        <f>VLOOKUP(A217,'Relatório Vendas por Pedido'!$A$2:$G$252,7,FALSE)</f>
        <v>227.5</v>
      </c>
      <c r="H217" t="str">
        <f t="shared" si="3"/>
        <v>OK</v>
      </c>
      <c r="I217" s="64" t="s">
        <v>411</v>
      </c>
    </row>
    <row r="218" spans="1:10" ht="15.75" thickBot="1" x14ac:dyDescent="0.3">
      <c r="A218" s="8">
        <v>19772</v>
      </c>
      <c r="B218" s="61">
        <v>4891</v>
      </c>
      <c r="C218" s="6">
        <v>215</v>
      </c>
      <c r="D218" s="7" t="s">
        <v>291</v>
      </c>
      <c r="E218" s="7" t="s">
        <v>292</v>
      </c>
      <c r="F218" s="9">
        <v>546</v>
      </c>
      <c r="G218" s="64">
        <f>VLOOKUP(A218,'Relatório Vendas por Pedido'!$A$2:$G$252,7,FALSE)</f>
        <v>546</v>
      </c>
      <c r="H218" t="str">
        <f t="shared" si="3"/>
        <v>OK</v>
      </c>
      <c r="I218" s="64" t="s">
        <v>411</v>
      </c>
    </row>
    <row r="219" spans="1:10" ht="15.75" thickBot="1" x14ac:dyDescent="0.3">
      <c r="A219" s="8">
        <v>19719</v>
      </c>
      <c r="B219" s="61">
        <v>14590</v>
      </c>
      <c r="C219" s="6">
        <v>216</v>
      </c>
      <c r="D219" s="7" t="s">
        <v>293</v>
      </c>
      <c r="E219" s="7" t="s">
        <v>294</v>
      </c>
      <c r="F219" s="9">
        <v>247</v>
      </c>
      <c r="G219" s="64">
        <f>VLOOKUP(A219,'Relatório Vendas por Pedido'!$A$2:$G$252,7,FALSE)</f>
        <v>240</v>
      </c>
      <c r="H219" t="str">
        <f t="shared" si="3"/>
        <v>ERRO</v>
      </c>
      <c r="I219" s="64">
        <v>7</v>
      </c>
      <c r="J219" t="s">
        <v>407</v>
      </c>
    </row>
    <row r="220" spans="1:10" ht="15.75" thickBot="1" x14ac:dyDescent="0.3">
      <c r="A220" s="8">
        <v>19735</v>
      </c>
      <c r="B220" s="61">
        <v>14604</v>
      </c>
      <c r="C220" s="6">
        <v>217</v>
      </c>
      <c r="D220" s="7" t="s">
        <v>295</v>
      </c>
      <c r="E220" s="7" t="s">
        <v>296</v>
      </c>
      <c r="F220" s="9">
        <v>444.84</v>
      </c>
      <c r="G220" s="64">
        <f>VLOOKUP(A220,'Relatório Vendas por Pedido'!$A$2:$G$252,7,FALSE)</f>
        <v>435.84</v>
      </c>
      <c r="H220" t="str">
        <f t="shared" si="3"/>
        <v>ERRO</v>
      </c>
      <c r="I220" s="64">
        <v>9</v>
      </c>
      <c r="J220" t="s">
        <v>407</v>
      </c>
    </row>
    <row r="221" spans="1:10" ht="15.75" thickBot="1" x14ac:dyDescent="0.3">
      <c r="A221" s="8">
        <v>19850</v>
      </c>
      <c r="B221" s="61">
        <v>4911</v>
      </c>
      <c r="C221" s="6">
        <v>218</v>
      </c>
      <c r="D221" s="7" t="s">
        <v>295</v>
      </c>
      <c r="E221" s="7" t="s">
        <v>297</v>
      </c>
      <c r="F221" s="9">
        <v>445.84</v>
      </c>
      <c r="G221" s="64">
        <f>VLOOKUP(A221,'Relatório Vendas por Pedido'!$A$2:$G$252,7,FALSE)</f>
        <v>435.84</v>
      </c>
      <c r="H221" t="str">
        <f t="shared" si="3"/>
        <v>ERRO</v>
      </c>
      <c r="I221" s="64">
        <v>10</v>
      </c>
      <c r="J221" t="s">
        <v>407</v>
      </c>
    </row>
    <row r="222" spans="1:10" ht="15.75" thickBot="1" x14ac:dyDescent="0.3">
      <c r="A222" s="8">
        <v>19692</v>
      </c>
      <c r="B222" s="61">
        <v>14570</v>
      </c>
      <c r="C222" s="6">
        <v>219</v>
      </c>
      <c r="D222" s="7" t="s">
        <v>298</v>
      </c>
      <c r="E222" s="7" t="s">
        <v>299</v>
      </c>
      <c r="F222" s="9">
        <v>30</v>
      </c>
      <c r="G222" s="64">
        <f>VLOOKUP(A222,'Relatório Vendas por Pedido'!$A$2:$G$252,7,FALSE)</f>
        <v>30</v>
      </c>
      <c r="H222" t="str">
        <f t="shared" si="3"/>
        <v>OK</v>
      </c>
      <c r="I222" s="64" t="s">
        <v>411</v>
      </c>
    </row>
    <row r="223" spans="1:10" ht="15.75" thickBot="1" x14ac:dyDescent="0.3">
      <c r="A223" s="8">
        <v>19704</v>
      </c>
      <c r="B223" s="61">
        <v>4884</v>
      </c>
      <c r="C223" s="6">
        <v>220</v>
      </c>
      <c r="D223" s="7" t="s">
        <v>300</v>
      </c>
      <c r="E223" s="7" t="s">
        <v>301</v>
      </c>
      <c r="F223" s="9">
        <v>716</v>
      </c>
      <c r="G223" s="64">
        <f>VLOOKUP(A223,'Relatório Vendas por Pedido'!$A$2:$G$252,7,FALSE)</f>
        <v>716</v>
      </c>
      <c r="H223" t="str">
        <f t="shared" si="3"/>
        <v>OK</v>
      </c>
      <c r="I223" s="64" t="s">
        <v>411</v>
      </c>
    </row>
    <row r="224" spans="1:10" ht="15.75" thickBot="1" x14ac:dyDescent="0.3">
      <c r="A224" s="8">
        <v>19682</v>
      </c>
      <c r="B224" s="61">
        <v>14564</v>
      </c>
      <c r="C224" s="6">
        <v>221</v>
      </c>
      <c r="D224" s="7" t="s">
        <v>302</v>
      </c>
      <c r="E224" s="7" t="s">
        <v>303</v>
      </c>
      <c r="F224" s="9">
        <v>480</v>
      </c>
      <c r="G224" s="64">
        <f>VLOOKUP(A224,'Relatório Vendas por Pedido'!$A$2:$G$252,7,FALSE)</f>
        <v>480</v>
      </c>
      <c r="H224" t="str">
        <f t="shared" si="3"/>
        <v>OK</v>
      </c>
      <c r="I224" s="64" t="s">
        <v>411</v>
      </c>
    </row>
    <row r="225" spans="1:10" ht="15.75" thickBot="1" x14ac:dyDescent="0.3">
      <c r="A225" s="8">
        <v>19926</v>
      </c>
      <c r="B225" s="61">
        <v>14730</v>
      </c>
      <c r="C225" s="6">
        <v>222</v>
      </c>
      <c r="D225" s="7" t="s">
        <v>304</v>
      </c>
      <c r="E225" s="7" t="s">
        <v>305</v>
      </c>
      <c r="F225" s="9">
        <v>553</v>
      </c>
      <c r="G225" s="64">
        <f>VLOOKUP(A225,'Relatório Vendas por Pedido'!$A$2:$G$252,7,FALSE)</f>
        <v>546</v>
      </c>
      <c r="H225" t="str">
        <f t="shared" si="3"/>
        <v>ERRO</v>
      </c>
      <c r="I225" s="64">
        <v>7</v>
      </c>
      <c r="J225" t="s">
        <v>407</v>
      </c>
    </row>
    <row r="226" spans="1:10" ht="15.75" thickBot="1" x14ac:dyDescent="0.3">
      <c r="A226" s="8">
        <v>19709</v>
      </c>
      <c r="B226" s="61">
        <v>14583</v>
      </c>
      <c r="C226" s="6">
        <v>223</v>
      </c>
      <c r="D226" s="7" t="s">
        <v>306</v>
      </c>
      <c r="E226" s="7" t="s">
        <v>307</v>
      </c>
      <c r="F226" s="9">
        <v>584</v>
      </c>
      <c r="G226" s="64">
        <f>VLOOKUP(A226,'Relatório Vendas por Pedido'!$A$2:$G$252,7,FALSE)</f>
        <v>576</v>
      </c>
      <c r="H226" t="str">
        <f t="shared" si="3"/>
        <v>ERRO</v>
      </c>
      <c r="I226" s="64">
        <v>8</v>
      </c>
      <c r="J226" t="s">
        <v>407</v>
      </c>
    </row>
    <row r="227" spans="1:10" ht="15.75" thickBot="1" x14ac:dyDescent="0.3">
      <c r="A227" s="8">
        <v>19851</v>
      </c>
      <c r="B227" s="61">
        <v>14687</v>
      </c>
      <c r="C227" s="6">
        <v>224</v>
      </c>
      <c r="D227" s="7" t="s">
        <v>306</v>
      </c>
      <c r="E227" s="7" t="s">
        <v>308</v>
      </c>
      <c r="F227" s="9">
        <v>584</v>
      </c>
      <c r="G227" s="64">
        <f>VLOOKUP(A227,'Relatório Vendas por Pedido'!$A$2:$G$252,7,FALSE)</f>
        <v>576</v>
      </c>
      <c r="H227" t="str">
        <f t="shared" si="3"/>
        <v>ERRO</v>
      </c>
      <c r="I227" s="64">
        <v>8</v>
      </c>
      <c r="J227" t="s">
        <v>407</v>
      </c>
    </row>
    <row r="228" spans="1:10" ht="15.75" thickBot="1" x14ac:dyDescent="0.3">
      <c r="A228" s="8">
        <v>19701</v>
      </c>
      <c r="B228" s="61">
        <v>4902</v>
      </c>
      <c r="C228" s="6">
        <v>225</v>
      </c>
      <c r="D228" s="7" t="s">
        <v>309</v>
      </c>
      <c r="E228" s="7" t="s">
        <v>310</v>
      </c>
      <c r="F228" s="9">
        <v>350.4</v>
      </c>
      <c r="G228" s="64">
        <f>VLOOKUP(A228,'Relatório Vendas por Pedido'!$A$2:$G$252,7,FALSE)</f>
        <v>350.4</v>
      </c>
      <c r="H228" t="str">
        <f t="shared" si="3"/>
        <v>OK</v>
      </c>
      <c r="I228" s="64" t="s">
        <v>411</v>
      </c>
    </row>
    <row r="229" spans="1:10" ht="15.75" thickBot="1" x14ac:dyDescent="0.3">
      <c r="A229" s="8">
        <v>19694</v>
      </c>
      <c r="B229" s="61">
        <v>14573</v>
      </c>
      <c r="C229" s="6">
        <v>226</v>
      </c>
      <c r="D229" s="7" t="s">
        <v>311</v>
      </c>
      <c r="E229" s="7" t="s">
        <v>312</v>
      </c>
      <c r="F229" s="9">
        <v>105</v>
      </c>
      <c r="G229" s="64">
        <f>VLOOKUP(A229,'Relatório Vendas por Pedido'!$A$2:$G$252,7,FALSE)</f>
        <v>105</v>
      </c>
      <c r="H229" t="str">
        <f t="shared" si="3"/>
        <v>OK</v>
      </c>
      <c r="I229" s="64" t="s">
        <v>411</v>
      </c>
    </row>
    <row r="230" spans="1:10" ht="15.75" thickBot="1" x14ac:dyDescent="0.3">
      <c r="A230" s="8">
        <v>19729</v>
      </c>
      <c r="B230" s="61">
        <v>14600</v>
      </c>
      <c r="C230" s="6">
        <v>227</v>
      </c>
      <c r="D230" s="7" t="s">
        <v>313</v>
      </c>
      <c r="E230" s="7" t="s">
        <v>314</v>
      </c>
      <c r="F230" s="9">
        <v>360</v>
      </c>
      <c r="G230" s="64">
        <f>VLOOKUP(A230,'Relatório Vendas por Pedido'!$A$2:$G$252,7,FALSE)</f>
        <v>360</v>
      </c>
      <c r="H230" t="str">
        <f t="shared" si="3"/>
        <v>OK</v>
      </c>
      <c r="I230" s="64" t="s">
        <v>411</v>
      </c>
    </row>
    <row r="231" spans="1:10" ht="15.75" thickBot="1" x14ac:dyDescent="0.3">
      <c r="A231" s="8">
        <v>19635</v>
      </c>
      <c r="B231" s="61">
        <v>4879</v>
      </c>
      <c r="C231" s="6">
        <v>228</v>
      </c>
      <c r="D231" s="7" t="s">
        <v>315</v>
      </c>
      <c r="E231" s="7" t="s">
        <v>316</v>
      </c>
      <c r="F231" s="9">
        <v>1223.57</v>
      </c>
      <c r="G231" s="64">
        <f>VLOOKUP(A231,'Relatório Vendas por Pedido'!$A$2:$G$252,7,FALSE)</f>
        <v>1223.5700000000002</v>
      </c>
      <c r="H231" t="str">
        <f t="shared" si="3"/>
        <v>OK</v>
      </c>
      <c r="I231" s="64" t="s">
        <v>411</v>
      </c>
    </row>
    <row r="232" spans="1:10" ht="15.75" thickBot="1" x14ac:dyDescent="0.3">
      <c r="A232" s="8">
        <v>19637</v>
      </c>
      <c r="B232" s="61">
        <v>4880</v>
      </c>
      <c r="C232" s="6">
        <v>229</v>
      </c>
      <c r="D232" s="7" t="s">
        <v>315</v>
      </c>
      <c r="E232" s="7" t="s">
        <v>317</v>
      </c>
      <c r="F232" s="9">
        <v>1020.82</v>
      </c>
      <c r="G232" s="64">
        <f>VLOOKUP(A232,'Relatório Vendas por Pedido'!$A$2:$G$252,7,FALSE)</f>
        <v>1020.8299999999999</v>
      </c>
      <c r="H232" t="str">
        <f t="shared" si="3"/>
        <v>ERRO</v>
      </c>
      <c r="I232" s="64">
        <v>-9.9999999998772182E-3</v>
      </c>
      <c r="J232" t="s">
        <v>418</v>
      </c>
    </row>
    <row r="233" spans="1:10" ht="15.75" thickBot="1" x14ac:dyDescent="0.3">
      <c r="A233" s="8">
        <v>19657</v>
      </c>
      <c r="B233" s="61">
        <v>4881</v>
      </c>
      <c r="C233" s="6">
        <v>230</v>
      </c>
      <c r="D233" s="7" t="s">
        <v>315</v>
      </c>
      <c r="E233" s="7" t="s">
        <v>318</v>
      </c>
      <c r="F233" s="9">
        <v>806.92</v>
      </c>
      <c r="G233" s="64">
        <f>VLOOKUP(A233,'Relatório Vendas por Pedido'!$A$2:$G$252,7,FALSE)</f>
        <v>806.91000000000008</v>
      </c>
      <c r="H233" t="str">
        <f t="shared" si="3"/>
        <v>ERRO</v>
      </c>
      <c r="I233" s="64">
        <v>9.9999999998772182E-3</v>
      </c>
      <c r="J233" t="s">
        <v>418</v>
      </c>
    </row>
    <row r="234" spans="1:10" ht="15.75" thickBot="1" x14ac:dyDescent="0.3">
      <c r="A234" s="8">
        <v>19685</v>
      </c>
      <c r="B234" s="61">
        <v>4882</v>
      </c>
      <c r="C234" s="6">
        <v>231</v>
      </c>
      <c r="D234" s="7" t="s">
        <v>315</v>
      </c>
      <c r="E234" s="7" t="s">
        <v>319</v>
      </c>
      <c r="F234" s="9">
        <v>343</v>
      </c>
      <c r="G234" s="64">
        <f>VLOOKUP(A234,'Relatório Vendas por Pedido'!$A$2:$G$252,7,FALSE)</f>
        <v>343</v>
      </c>
      <c r="H234" t="str">
        <f t="shared" si="3"/>
        <v>OK</v>
      </c>
      <c r="I234" s="64" t="s">
        <v>411</v>
      </c>
    </row>
    <row r="235" spans="1:10" ht="15.75" thickBot="1" x14ac:dyDescent="0.3">
      <c r="A235" s="8">
        <v>19688</v>
      </c>
      <c r="B235" s="61">
        <v>4905</v>
      </c>
      <c r="C235" s="6">
        <v>232</v>
      </c>
      <c r="D235" s="7" t="s">
        <v>315</v>
      </c>
      <c r="E235" s="7" t="s">
        <v>320</v>
      </c>
      <c r="F235" s="9">
        <v>449.95</v>
      </c>
      <c r="G235" s="64">
        <f>VLOOKUP(A235,'Relatório Vendas por Pedido'!$A$2:$G$252,7,FALSE)</f>
        <v>449.95</v>
      </c>
      <c r="H235" t="str">
        <f t="shared" si="3"/>
        <v>OK</v>
      </c>
      <c r="I235" s="64" t="s">
        <v>411</v>
      </c>
    </row>
    <row r="236" spans="1:10" ht="15.75" thickBot="1" x14ac:dyDescent="0.3">
      <c r="A236" s="8">
        <v>19736</v>
      </c>
      <c r="B236" s="61">
        <v>4899</v>
      </c>
      <c r="C236" s="6">
        <v>233</v>
      </c>
      <c r="D236" s="7" t="s">
        <v>315</v>
      </c>
      <c r="E236" s="7" t="s">
        <v>321</v>
      </c>
      <c r="F236" s="9">
        <v>515.78</v>
      </c>
      <c r="G236" s="64">
        <f>VLOOKUP(A236,'Relatório Vendas por Pedido'!$A$2:$G$252,7,FALSE)</f>
        <v>515.79</v>
      </c>
      <c r="H236" t="str">
        <f t="shared" si="3"/>
        <v>ERRO</v>
      </c>
      <c r="I236" s="64">
        <v>-9.9999999999909051E-3</v>
      </c>
      <c r="J236" t="s">
        <v>418</v>
      </c>
    </row>
    <row r="237" spans="1:10" ht="15.75" thickBot="1" x14ac:dyDescent="0.3">
      <c r="A237" s="8">
        <v>19829</v>
      </c>
      <c r="B237" s="61">
        <v>4916</v>
      </c>
      <c r="C237" s="6">
        <v>234</v>
      </c>
      <c r="D237" s="7" t="s">
        <v>315</v>
      </c>
      <c r="E237" s="7" t="s">
        <v>322</v>
      </c>
      <c r="F237" s="9">
        <v>447.58</v>
      </c>
      <c r="G237" s="64">
        <f>VLOOKUP(A237,'Relatório Vendas por Pedido'!$A$2:$G$252,7,FALSE)</f>
        <v>447.58</v>
      </c>
      <c r="H237" t="str">
        <f t="shared" si="3"/>
        <v>OK</v>
      </c>
      <c r="I237" s="64" t="s">
        <v>411</v>
      </c>
    </row>
    <row r="238" spans="1:10" ht="15.75" thickBot="1" x14ac:dyDescent="0.3">
      <c r="A238" s="8">
        <v>19763</v>
      </c>
      <c r="B238" s="61">
        <v>14627</v>
      </c>
      <c r="C238" s="6">
        <v>235</v>
      </c>
      <c r="D238" s="7" t="s">
        <v>323</v>
      </c>
      <c r="E238" s="7" t="s">
        <v>324</v>
      </c>
      <c r="F238" s="9">
        <v>120</v>
      </c>
      <c r="G238" s="64">
        <f>VLOOKUP(A238,'Relatório Vendas por Pedido'!$A$2:$G$252,7,FALSE)</f>
        <v>120</v>
      </c>
      <c r="H238" t="str">
        <f t="shared" si="3"/>
        <v>OK</v>
      </c>
      <c r="I238" s="64" t="s">
        <v>411</v>
      </c>
    </row>
    <row r="239" spans="1:10" ht="15.75" thickBot="1" x14ac:dyDescent="0.3">
      <c r="A239" s="8">
        <v>19820</v>
      </c>
      <c r="B239" s="61">
        <v>14665</v>
      </c>
      <c r="C239" s="6">
        <v>236</v>
      </c>
      <c r="D239" s="7" t="s">
        <v>323</v>
      </c>
      <c r="E239" s="7" t="s">
        <v>325</v>
      </c>
      <c r="F239" s="9">
        <v>120</v>
      </c>
      <c r="G239" s="64">
        <f>VLOOKUP(A239,'Relatório Vendas por Pedido'!$A$2:$G$252,7,FALSE)</f>
        <v>120</v>
      </c>
      <c r="H239" t="str">
        <f t="shared" si="3"/>
        <v>OK</v>
      </c>
      <c r="I239" s="64" t="s">
        <v>411</v>
      </c>
    </row>
    <row r="240" spans="1:10" ht="15.75" thickBot="1" x14ac:dyDescent="0.3">
      <c r="A240" s="8">
        <v>19861</v>
      </c>
      <c r="B240" s="61">
        <v>14689</v>
      </c>
      <c r="C240" s="6">
        <v>237</v>
      </c>
      <c r="D240" s="7" t="s">
        <v>323</v>
      </c>
      <c r="E240" s="7" t="s">
        <v>326</v>
      </c>
      <c r="F240" s="9">
        <v>180</v>
      </c>
      <c r="G240" s="64">
        <f>VLOOKUP(A240,'Relatório Vendas por Pedido'!$A$2:$G$252,7,FALSE)</f>
        <v>180</v>
      </c>
      <c r="H240" t="str">
        <f t="shared" si="3"/>
        <v>OK</v>
      </c>
      <c r="I240" s="64" t="s">
        <v>411</v>
      </c>
    </row>
    <row r="241" spans="1:10" ht="15.75" thickBot="1" x14ac:dyDescent="0.3">
      <c r="A241" s="8">
        <v>19775</v>
      </c>
      <c r="B241" s="61">
        <v>14633</v>
      </c>
      <c r="C241" s="6">
        <v>238</v>
      </c>
      <c r="D241" s="7" t="s">
        <v>327</v>
      </c>
      <c r="E241" s="7" t="s">
        <v>328</v>
      </c>
      <c r="F241" s="9">
        <v>150</v>
      </c>
      <c r="G241" s="64">
        <f>VLOOKUP(A241,'Relatório Vendas por Pedido'!$A$2:$G$252,7,FALSE)</f>
        <v>150</v>
      </c>
      <c r="H241" t="str">
        <f t="shared" si="3"/>
        <v>OK</v>
      </c>
      <c r="I241" s="64" t="s">
        <v>411</v>
      </c>
    </row>
    <row r="242" spans="1:10" ht="15.75" thickBot="1" x14ac:dyDescent="0.3">
      <c r="A242" s="8">
        <v>19697</v>
      </c>
      <c r="B242" s="61">
        <v>14575</v>
      </c>
      <c r="C242" s="6">
        <v>239</v>
      </c>
      <c r="D242" s="7" t="s">
        <v>329</v>
      </c>
      <c r="E242" s="7" t="s">
        <v>330</v>
      </c>
      <c r="F242" s="9">
        <v>1509.9</v>
      </c>
      <c r="G242" s="64">
        <f>VLOOKUP(A242,'Relatório Vendas por Pedido'!$A$2:$G$252,7,FALSE)</f>
        <v>1509.9</v>
      </c>
      <c r="H242" t="str">
        <f t="shared" si="3"/>
        <v>OK</v>
      </c>
      <c r="I242" s="64" t="s">
        <v>411</v>
      </c>
    </row>
    <row r="243" spans="1:10" ht="15.75" thickBot="1" x14ac:dyDescent="0.3">
      <c r="A243" s="8">
        <v>19670</v>
      </c>
      <c r="B243" s="61">
        <v>4878</v>
      </c>
      <c r="C243" s="6">
        <v>240</v>
      </c>
      <c r="D243" s="7" t="s">
        <v>331</v>
      </c>
      <c r="E243" s="7" t="s">
        <v>332</v>
      </c>
      <c r="F243" s="9">
        <v>975</v>
      </c>
      <c r="G243" s="64">
        <f>VLOOKUP(A243,'Relatório Vendas por Pedido'!$A$2:$G$252,7,FALSE)</f>
        <v>975</v>
      </c>
      <c r="H243" t="str">
        <f t="shared" si="3"/>
        <v>OK</v>
      </c>
      <c r="I243" s="64" t="s">
        <v>411</v>
      </c>
    </row>
    <row r="244" spans="1:10" ht="15.75" thickBot="1" x14ac:dyDescent="0.3">
      <c r="A244" s="8">
        <v>19779</v>
      </c>
      <c r="B244" s="61">
        <v>4895</v>
      </c>
      <c r="C244" s="6">
        <v>241</v>
      </c>
      <c r="D244" s="7" t="s">
        <v>331</v>
      </c>
      <c r="E244" s="7" t="s">
        <v>333</v>
      </c>
      <c r="F244" s="9">
        <v>625</v>
      </c>
      <c r="G244" s="64">
        <f>VLOOKUP(A244,'Relatório Vendas por Pedido'!$A$2:$G$252,7,FALSE)</f>
        <v>625</v>
      </c>
      <c r="H244" t="str">
        <f t="shared" si="3"/>
        <v>OK</v>
      </c>
      <c r="I244" s="64" t="s">
        <v>411</v>
      </c>
    </row>
    <row r="245" spans="1:10" ht="15.75" thickBot="1" x14ac:dyDescent="0.3">
      <c r="A245" s="8">
        <v>19836</v>
      </c>
      <c r="B245" s="61">
        <v>4917</v>
      </c>
      <c r="C245" s="6">
        <v>242</v>
      </c>
      <c r="D245" s="7" t="s">
        <v>331</v>
      </c>
      <c r="E245" s="7" t="s">
        <v>334</v>
      </c>
      <c r="F245" s="9">
        <v>2937.85</v>
      </c>
      <c r="G245" s="64">
        <f>VLOOKUP(A245,'Relatório Vendas por Pedido'!$A$2:$G$252,7,FALSE)</f>
        <v>2937.85</v>
      </c>
      <c r="H245" t="str">
        <f t="shared" si="3"/>
        <v>OK</v>
      </c>
      <c r="I245" s="64" t="s">
        <v>411</v>
      </c>
    </row>
    <row r="246" spans="1:10" ht="15.75" thickBot="1" x14ac:dyDescent="0.3">
      <c r="A246" s="8">
        <v>19843</v>
      </c>
      <c r="B246" s="61">
        <v>4909</v>
      </c>
      <c r="C246" s="6">
        <v>243</v>
      </c>
      <c r="D246" s="7" t="s">
        <v>331</v>
      </c>
      <c r="E246" s="7" t="s">
        <v>335</v>
      </c>
      <c r="F246" s="9">
        <v>277</v>
      </c>
      <c r="G246" s="64">
        <f>VLOOKUP(A246,'Relatório Vendas por Pedido'!$A$2:$G$252,7,FALSE)</f>
        <v>277</v>
      </c>
      <c r="H246" t="str">
        <f t="shared" si="3"/>
        <v>OK</v>
      </c>
      <c r="I246" s="64" t="s">
        <v>411</v>
      </c>
    </row>
    <row r="247" spans="1:10" ht="15.75" thickBot="1" x14ac:dyDescent="0.3">
      <c r="A247" s="8">
        <v>19710</v>
      </c>
      <c r="B247" s="61">
        <v>4885</v>
      </c>
      <c r="C247" s="6">
        <v>244</v>
      </c>
      <c r="D247" s="7" t="s">
        <v>336</v>
      </c>
      <c r="E247" s="7" t="s">
        <v>337</v>
      </c>
      <c r="F247" s="9">
        <v>2770</v>
      </c>
      <c r="G247" s="64">
        <f>VLOOKUP(A247,'Relatório Vendas por Pedido'!$A$2:$G$252,7,FALSE)</f>
        <v>2770</v>
      </c>
      <c r="H247" t="str">
        <f t="shared" si="3"/>
        <v>OK</v>
      </c>
      <c r="I247" s="64" t="s">
        <v>411</v>
      </c>
    </row>
    <row r="248" spans="1:10" ht="15.75" thickBot="1" x14ac:dyDescent="0.3">
      <c r="A248" s="8">
        <v>19722</v>
      </c>
      <c r="B248" s="61">
        <v>4886</v>
      </c>
      <c r="C248" s="6">
        <v>245</v>
      </c>
      <c r="D248" s="7" t="s">
        <v>336</v>
      </c>
      <c r="E248" s="7" t="s">
        <v>338</v>
      </c>
      <c r="F248" s="9">
        <v>1030.8</v>
      </c>
      <c r="G248" s="64">
        <f>VLOOKUP(A248,'Relatório Vendas por Pedido'!$A$2:$G$252,7,FALSE)</f>
        <v>1030.8</v>
      </c>
      <c r="H248" t="str">
        <f t="shared" si="3"/>
        <v>OK</v>
      </c>
      <c r="I248" s="64" t="s">
        <v>411</v>
      </c>
    </row>
    <row r="249" spans="1:10" ht="15.75" thickBot="1" x14ac:dyDescent="0.3">
      <c r="A249" s="8">
        <v>19787</v>
      </c>
      <c r="B249" s="61">
        <v>4896</v>
      </c>
      <c r="C249" s="6">
        <v>246</v>
      </c>
      <c r="D249" s="7" t="s">
        <v>336</v>
      </c>
      <c r="E249" s="7" t="s">
        <v>339</v>
      </c>
      <c r="F249" s="9">
        <v>1178.92</v>
      </c>
      <c r="G249" s="64">
        <f>VLOOKUP(A249,'Relatório Vendas por Pedido'!$A$2:$G$252,7,FALSE)</f>
        <v>1178.92</v>
      </c>
      <c r="H249" t="str">
        <f t="shared" si="3"/>
        <v>OK</v>
      </c>
      <c r="I249" s="64" t="s">
        <v>411</v>
      </c>
    </row>
    <row r="250" spans="1:10" ht="15.75" thickBot="1" x14ac:dyDescent="0.3">
      <c r="A250" s="8">
        <v>19764</v>
      </c>
      <c r="B250" s="61">
        <v>4890</v>
      </c>
      <c r="C250" s="6">
        <v>247</v>
      </c>
      <c r="D250" s="7" t="s">
        <v>340</v>
      </c>
      <c r="E250" s="7" t="s">
        <v>341</v>
      </c>
      <c r="F250" s="9">
        <v>9582.01</v>
      </c>
      <c r="G250" s="64">
        <f>VLOOKUP(A250,'Relatório Vendas por Pedido'!$A$2:$G$252,7,FALSE)</f>
        <v>9582.01</v>
      </c>
      <c r="H250" t="str">
        <f t="shared" si="3"/>
        <v>OK</v>
      </c>
      <c r="I250" s="64" t="s">
        <v>411</v>
      </c>
    </row>
    <row r="251" spans="1:10" ht="15.75" thickBot="1" x14ac:dyDescent="0.3">
      <c r="A251" s="8">
        <v>19777</v>
      </c>
      <c r="B251" s="61">
        <v>4893</v>
      </c>
      <c r="C251" s="6">
        <v>248</v>
      </c>
      <c r="D251" s="7" t="s">
        <v>340</v>
      </c>
      <c r="E251" s="7" t="s">
        <v>342</v>
      </c>
      <c r="F251" s="9">
        <v>19705.63</v>
      </c>
      <c r="G251" s="64">
        <f>VLOOKUP(A251,'Relatório Vendas por Pedido'!$A$2:$G$252,7,FALSE)</f>
        <v>19705.63</v>
      </c>
      <c r="H251" t="str">
        <f t="shared" si="3"/>
        <v>OK</v>
      </c>
      <c r="I251" s="64" t="s">
        <v>411</v>
      </c>
    </row>
    <row r="252" spans="1:10" ht="15.75" thickBot="1" x14ac:dyDescent="0.3">
      <c r="A252" s="8">
        <v>19824</v>
      </c>
      <c r="B252" s="61">
        <v>4929</v>
      </c>
      <c r="C252" s="6">
        <v>249</v>
      </c>
      <c r="D252" s="7" t="s">
        <v>340</v>
      </c>
      <c r="E252" s="7" t="s">
        <v>343</v>
      </c>
      <c r="F252" s="9">
        <v>13356.9</v>
      </c>
      <c r="G252" s="64">
        <f>VLOOKUP(A252,'Relatório Vendas por Pedido'!$A$2:$G$252,7,FALSE)</f>
        <v>13356.9</v>
      </c>
      <c r="H252" t="str">
        <f t="shared" si="3"/>
        <v>OK</v>
      </c>
      <c r="I252" s="64" t="s">
        <v>411</v>
      </c>
    </row>
    <row r="253" spans="1:10" ht="15.75" thickBot="1" x14ac:dyDescent="0.3">
      <c r="A253" s="8">
        <v>19663</v>
      </c>
      <c r="B253" s="61">
        <v>14554</v>
      </c>
      <c r="C253" s="6">
        <v>250</v>
      </c>
      <c r="D253" s="7" t="s">
        <v>344</v>
      </c>
      <c r="E253" s="7" t="s">
        <v>345</v>
      </c>
      <c r="F253" s="9">
        <v>349</v>
      </c>
      <c r="G253" s="64">
        <f>VLOOKUP(A253,'Relatório Vendas por Pedido'!$A$2:$G$252,7,FALSE)</f>
        <v>342</v>
      </c>
      <c r="H253" t="str">
        <f t="shared" si="3"/>
        <v>ERRO</v>
      </c>
      <c r="I253" s="64">
        <v>7</v>
      </c>
      <c r="J253" t="s">
        <v>407</v>
      </c>
    </row>
    <row r="254" spans="1:10" ht="15.75" thickBot="1" x14ac:dyDescent="0.3">
      <c r="A254" s="8">
        <v>19849</v>
      </c>
      <c r="B254" s="61">
        <v>14684</v>
      </c>
      <c r="C254" s="6">
        <v>251</v>
      </c>
      <c r="D254" s="7" t="s">
        <v>344</v>
      </c>
      <c r="E254" s="7" t="s">
        <v>346</v>
      </c>
      <c r="F254" s="9">
        <v>349</v>
      </c>
      <c r="G254" s="64">
        <f>VLOOKUP(A254,'Relatório Vendas por Pedido'!$A$2:$G$252,7,FALSE)</f>
        <v>342</v>
      </c>
      <c r="H254" t="str">
        <f t="shared" si="3"/>
        <v>ERRO</v>
      </c>
      <c r="I254" s="64">
        <v>7</v>
      </c>
      <c r="J254" t="s">
        <v>407</v>
      </c>
    </row>
    <row r="255" spans="1:10" x14ac:dyDescent="0.25">
      <c r="F255" s="20">
        <f>SUM(F2:F254)</f>
        <v>192318.86000000002</v>
      </c>
    </row>
  </sheetData>
  <pageMargins left="0.511811024" right="0.511811024" top="0.78740157499999996" bottom="0.78740157499999996" header="0.31496062000000002" footer="0.31496062000000002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0"/>
  <sheetViews>
    <sheetView workbookViewId="0">
      <selection activeCell="B1" sqref="B1"/>
    </sheetView>
  </sheetViews>
  <sheetFormatPr defaultRowHeight="15" x14ac:dyDescent="0.25"/>
  <cols>
    <col min="1" max="1" width="26.28515625" style="22" bestFit="1" customWidth="1"/>
    <col min="2" max="2" width="12.7109375" style="22" bestFit="1" customWidth="1"/>
    <col min="3" max="3" width="10.7109375" style="22" bestFit="1" customWidth="1"/>
    <col min="4" max="4" width="12.7109375" style="22" bestFit="1" customWidth="1"/>
    <col min="5" max="5" width="25.7109375" style="22" bestFit="1" customWidth="1"/>
    <col min="6" max="6" width="9.7109375" style="22" bestFit="1" customWidth="1"/>
    <col min="7" max="7" width="9.7109375" style="22" customWidth="1"/>
    <col min="8" max="8" width="10.7109375" style="22" bestFit="1" customWidth="1"/>
    <col min="9" max="9" width="8.140625" style="22" bestFit="1" customWidth="1"/>
    <col min="10" max="10" width="21.7109375" style="22" bestFit="1" customWidth="1"/>
    <col min="11" max="11" width="10.7109375" style="22" bestFit="1" customWidth="1"/>
    <col min="12" max="12" width="8.140625" style="22" bestFit="1" customWidth="1"/>
    <col min="13" max="16384" width="9.140625" style="22"/>
  </cols>
  <sheetData>
    <row r="1" spans="1:12" x14ac:dyDescent="0.25">
      <c r="A1" s="21" t="s">
        <v>347</v>
      </c>
      <c r="B1" s="21" t="s">
        <v>348</v>
      </c>
      <c r="C1" s="21" t="s">
        <v>349</v>
      </c>
      <c r="D1" s="21" t="s">
        <v>350</v>
      </c>
      <c r="E1" s="21" t="s">
        <v>351</v>
      </c>
      <c r="F1" s="21" t="s">
        <v>352</v>
      </c>
      <c r="G1" s="56"/>
      <c r="H1" s="22" t="s">
        <v>402</v>
      </c>
      <c r="I1" s="22" t="s">
        <v>403</v>
      </c>
      <c r="J1" s="22" t="s">
        <v>404</v>
      </c>
    </row>
    <row r="2" spans="1:12" x14ac:dyDescent="0.25">
      <c r="A2" s="23">
        <v>16620</v>
      </c>
      <c r="B2" s="24">
        <v>5495.4</v>
      </c>
      <c r="C2" s="24">
        <v>0</v>
      </c>
      <c r="D2" s="24">
        <v>5495.4</v>
      </c>
      <c r="E2" s="24">
        <v>5495.4</v>
      </c>
      <c r="F2" s="24">
        <v>0</v>
      </c>
      <c r="G2" s="57">
        <f t="shared" ref="G2:G65" si="0">E2+F2</f>
        <v>5495.4</v>
      </c>
      <c r="H2" s="55">
        <v>5495.4</v>
      </c>
      <c r="I2" s="22" t="s">
        <v>400</v>
      </c>
    </row>
    <row r="3" spans="1:12" x14ac:dyDescent="0.25">
      <c r="A3" s="23">
        <v>19329</v>
      </c>
      <c r="B3" s="24">
        <v>86.82</v>
      </c>
      <c r="C3" s="24">
        <v>14.82</v>
      </c>
      <c r="D3" s="24">
        <v>72</v>
      </c>
      <c r="E3" s="24">
        <v>72</v>
      </c>
      <c r="F3" s="24">
        <v>0</v>
      </c>
      <c r="G3" s="57">
        <f t="shared" si="0"/>
        <v>72</v>
      </c>
      <c r="H3" s="55">
        <v>72</v>
      </c>
      <c r="I3" s="22" t="s">
        <v>400</v>
      </c>
    </row>
    <row r="4" spans="1:12" x14ac:dyDescent="0.25">
      <c r="A4" s="23">
        <v>19464</v>
      </c>
      <c r="B4" s="24">
        <v>780</v>
      </c>
      <c r="C4" s="24">
        <v>0</v>
      </c>
      <c r="D4" s="24">
        <v>780</v>
      </c>
      <c r="E4" s="24">
        <v>780</v>
      </c>
      <c r="F4" s="24">
        <v>0</v>
      </c>
      <c r="G4" s="57">
        <f t="shared" si="0"/>
        <v>780</v>
      </c>
      <c r="H4" s="55">
        <v>780</v>
      </c>
      <c r="I4" s="22" t="s">
        <v>400</v>
      </c>
    </row>
    <row r="5" spans="1:12" x14ac:dyDescent="0.25">
      <c r="A5" s="23">
        <v>19491</v>
      </c>
      <c r="B5" s="24">
        <v>221.1</v>
      </c>
      <c r="C5" s="24">
        <v>11.1</v>
      </c>
      <c r="D5" s="24">
        <v>210</v>
      </c>
      <c r="E5" s="24">
        <v>210</v>
      </c>
      <c r="F5" s="24">
        <v>0</v>
      </c>
      <c r="G5" s="57">
        <f t="shared" si="0"/>
        <v>210</v>
      </c>
      <c r="H5" s="55">
        <v>210</v>
      </c>
      <c r="I5" s="22" t="s">
        <v>400</v>
      </c>
    </row>
    <row r="6" spans="1:12" x14ac:dyDescent="0.25">
      <c r="A6" s="23">
        <v>19565</v>
      </c>
      <c r="B6" s="24">
        <v>2175.38</v>
      </c>
      <c r="C6" s="24">
        <v>0</v>
      </c>
      <c r="D6" s="24">
        <v>2175.38</v>
      </c>
      <c r="E6" s="24">
        <v>2175.38</v>
      </c>
      <c r="F6" s="24">
        <v>0</v>
      </c>
      <c r="G6" s="57">
        <f t="shared" si="0"/>
        <v>2175.38</v>
      </c>
      <c r="H6" s="55">
        <v>2175.38</v>
      </c>
      <c r="I6" s="22" t="s">
        <v>400</v>
      </c>
    </row>
    <row r="7" spans="1:12" x14ac:dyDescent="0.25">
      <c r="A7" s="23">
        <v>19575</v>
      </c>
      <c r="B7" s="24">
        <v>1811.76</v>
      </c>
      <c r="C7" s="24">
        <v>40.68</v>
      </c>
      <c r="D7" s="24">
        <v>1771.08</v>
      </c>
      <c r="E7" s="24">
        <v>1771.08</v>
      </c>
      <c r="F7" s="24">
        <v>0</v>
      </c>
      <c r="G7" s="57">
        <f t="shared" si="0"/>
        <v>1771.08</v>
      </c>
      <c r="H7" s="55">
        <v>1771.08</v>
      </c>
      <c r="I7" s="22" t="s">
        <v>400</v>
      </c>
    </row>
    <row r="8" spans="1:12" x14ac:dyDescent="0.25">
      <c r="A8" s="23">
        <v>19576</v>
      </c>
      <c r="B8" s="24">
        <v>1670.37</v>
      </c>
      <c r="C8" s="24">
        <v>0</v>
      </c>
      <c r="D8" s="24">
        <v>1670.37</v>
      </c>
      <c r="E8" s="24">
        <v>1670.37</v>
      </c>
      <c r="F8" s="24">
        <v>0</v>
      </c>
      <c r="G8" s="57">
        <f t="shared" si="0"/>
        <v>1670.37</v>
      </c>
      <c r="H8" s="55">
        <v>1670.37</v>
      </c>
      <c r="I8" s="22" t="s">
        <v>400</v>
      </c>
    </row>
    <row r="9" spans="1:12" x14ac:dyDescent="0.25">
      <c r="A9" s="23">
        <v>19577</v>
      </c>
      <c r="B9" s="24">
        <v>2017.71</v>
      </c>
      <c r="C9" s="24">
        <v>0</v>
      </c>
      <c r="D9" s="24">
        <v>2017.71</v>
      </c>
      <c r="E9" s="24">
        <v>2017.71</v>
      </c>
      <c r="F9" s="24">
        <v>0</v>
      </c>
      <c r="G9" s="57">
        <f t="shared" si="0"/>
        <v>2017.71</v>
      </c>
      <c r="H9" s="55">
        <v>2017.71</v>
      </c>
      <c r="I9" s="22" t="s">
        <v>400</v>
      </c>
    </row>
    <row r="10" spans="1:12" x14ac:dyDescent="0.25">
      <c r="A10" s="23">
        <v>19579</v>
      </c>
      <c r="B10" s="24">
        <v>498.21</v>
      </c>
      <c r="C10" s="24">
        <v>23.21</v>
      </c>
      <c r="D10" s="24">
        <v>475</v>
      </c>
      <c r="E10" s="24">
        <v>475</v>
      </c>
      <c r="F10" s="24">
        <v>0</v>
      </c>
      <c r="G10" s="57">
        <f t="shared" si="0"/>
        <v>475</v>
      </c>
      <c r="H10" s="55">
        <v>475</v>
      </c>
      <c r="I10" s="22" t="s">
        <v>400</v>
      </c>
    </row>
    <row r="11" spans="1:12" x14ac:dyDescent="0.25">
      <c r="A11" s="23">
        <v>19605</v>
      </c>
      <c r="B11" s="24">
        <v>500</v>
      </c>
      <c r="C11" s="24">
        <v>0</v>
      </c>
      <c r="D11" s="24">
        <v>500</v>
      </c>
      <c r="E11" s="24">
        <v>500</v>
      </c>
      <c r="F11" s="24">
        <v>0</v>
      </c>
      <c r="G11" s="57">
        <f t="shared" si="0"/>
        <v>500</v>
      </c>
      <c r="H11" s="55">
        <v>500</v>
      </c>
      <c r="I11" s="22" t="s">
        <v>400</v>
      </c>
    </row>
    <row r="12" spans="1:12" x14ac:dyDescent="0.25">
      <c r="A12" s="23">
        <v>19624</v>
      </c>
      <c r="B12" s="24">
        <v>2893.6</v>
      </c>
      <c r="C12" s="24">
        <v>0</v>
      </c>
      <c r="D12" s="24">
        <v>2893.6</v>
      </c>
      <c r="E12" s="24">
        <v>2893.6</v>
      </c>
      <c r="F12" s="24">
        <v>0</v>
      </c>
      <c r="G12" s="57">
        <f t="shared" si="0"/>
        <v>2893.6</v>
      </c>
      <c r="H12" s="55">
        <v>2893.6</v>
      </c>
      <c r="I12" s="22" t="s">
        <v>400</v>
      </c>
    </row>
    <row r="13" spans="1:12" x14ac:dyDescent="0.25">
      <c r="A13" s="23">
        <v>19635</v>
      </c>
      <c r="B13" s="24">
        <v>1238.27</v>
      </c>
      <c r="C13" s="24">
        <v>44.7</v>
      </c>
      <c r="D13" s="24">
        <v>1193.5700000000002</v>
      </c>
      <c r="E13" s="24">
        <v>1193.5700000000002</v>
      </c>
      <c r="F13" s="24">
        <v>30</v>
      </c>
      <c r="G13" s="57">
        <f>E13+F13</f>
        <v>1223.5700000000002</v>
      </c>
      <c r="H13" s="55">
        <v>1223.57</v>
      </c>
      <c r="I13" s="22" t="str">
        <f>IF(G13=H13,"ok","erro")</f>
        <v>ok</v>
      </c>
      <c r="J13" s="25" t="str">
        <f>IF(I13="ok","frete","")</f>
        <v>frete</v>
      </c>
      <c r="K13" s="25"/>
      <c r="L13" s="25"/>
    </row>
    <row r="14" spans="1:12" x14ac:dyDescent="0.25">
      <c r="A14" s="23">
        <v>19637</v>
      </c>
      <c r="B14" s="24">
        <v>980.81999999999994</v>
      </c>
      <c r="C14" s="24">
        <v>0</v>
      </c>
      <c r="D14" s="24">
        <v>980.81999999999994</v>
      </c>
      <c r="E14" s="24">
        <v>980.81999999999994</v>
      </c>
      <c r="F14" s="24">
        <v>40.01</v>
      </c>
      <c r="G14" s="57">
        <f t="shared" si="0"/>
        <v>1020.8299999999999</v>
      </c>
      <c r="H14" s="55">
        <v>1020.82</v>
      </c>
      <c r="I14" s="22" t="s">
        <v>406</v>
      </c>
      <c r="J14" s="25" t="s">
        <v>405</v>
      </c>
      <c r="K14" s="25"/>
      <c r="L14" s="25"/>
    </row>
    <row r="15" spans="1:12" x14ac:dyDescent="0.25">
      <c r="A15" s="23">
        <v>19640</v>
      </c>
      <c r="B15" s="24">
        <v>545.32000000000005</v>
      </c>
      <c r="C15" s="24">
        <v>25.32</v>
      </c>
      <c r="D15" s="24">
        <v>520</v>
      </c>
      <c r="E15" s="24">
        <v>520</v>
      </c>
      <c r="F15" s="24">
        <v>0</v>
      </c>
      <c r="G15" s="57">
        <f t="shared" si="0"/>
        <v>520</v>
      </c>
      <c r="H15" s="55">
        <v>550</v>
      </c>
      <c r="I15" s="22" t="str">
        <f t="shared" ref="I14:I15" si="1">IF(G15=H15,"ok","erro")</f>
        <v>erro</v>
      </c>
      <c r="J15" s="25" t="s">
        <v>407</v>
      </c>
    </row>
    <row r="16" spans="1:12" x14ac:dyDescent="0.25">
      <c r="A16" s="23">
        <v>19641</v>
      </c>
      <c r="B16" s="24">
        <v>233.7</v>
      </c>
      <c r="C16" s="24">
        <v>10.7</v>
      </c>
      <c r="D16" s="24">
        <v>223</v>
      </c>
      <c r="E16" s="24">
        <v>223</v>
      </c>
      <c r="F16" s="24">
        <v>0</v>
      </c>
      <c r="G16" s="57">
        <f t="shared" si="0"/>
        <v>223</v>
      </c>
      <c r="H16" s="55">
        <v>223</v>
      </c>
      <c r="I16" s="22" t="s">
        <v>400</v>
      </c>
    </row>
    <row r="17" spans="1:12" x14ac:dyDescent="0.25">
      <c r="A17" s="23">
        <v>19642</v>
      </c>
      <c r="B17" s="24">
        <v>353.64</v>
      </c>
      <c r="C17" s="24">
        <v>17.64</v>
      </c>
      <c r="D17" s="24">
        <v>336</v>
      </c>
      <c r="E17" s="24">
        <v>336</v>
      </c>
      <c r="F17" s="24">
        <v>0</v>
      </c>
      <c r="G17" s="57">
        <f t="shared" si="0"/>
        <v>336</v>
      </c>
      <c r="H17" s="55">
        <v>347</v>
      </c>
      <c r="I17" s="22" t="str">
        <f t="shared" ref="I17:I18" si="2">IF(G17=H17,"ok","erro")</f>
        <v>erro</v>
      </c>
      <c r="J17" s="25" t="s">
        <v>407</v>
      </c>
    </row>
    <row r="18" spans="1:12" x14ac:dyDescent="0.25">
      <c r="A18" s="23">
        <v>19643</v>
      </c>
      <c r="B18" s="24">
        <v>176.82</v>
      </c>
      <c r="C18" s="24">
        <v>8.82</v>
      </c>
      <c r="D18" s="24">
        <v>168</v>
      </c>
      <c r="E18" s="24">
        <v>168</v>
      </c>
      <c r="F18" s="24">
        <v>0</v>
      </c>
      <c r="G18" s="57">
        <f t="shared" si="0"/>
        <v>168</v>
      </c>
      <c r="H18" s="55">
        <v>180</v>
      </c>
      <c r="I18" s="22" t="str">
        <f t="shared" si="2"/>
        <v>erro</v>
      </c>
      <c r="J18" s="25" t="s">
        <v>407</v>
      </c>
    </row>
    <row r="19" spans="1:12" x14ac:dyDescent="0.25">
      <c r="A19" s="23">
        <v>19644</v>
      </c>
      <c r="B19" s="24">
        <v>84.22</v>
      </c>
      <c r="C19" s="24">
        <v>4.22</v>
      </c>
      <c r="D19" s="24">
        <v>80</v>
      </c>
      <c r="E19" s="24">
        <v>80</v>
      </c>
      <c r="F19" s="24">
        <v>0</v>
      </c>
      <c r="G19" s="57">
        <f t="shared" si="0"/>
        <v>80</v>
      </c>
      <c r="H19" s="55">
        <v>80</v>
      </c>
      <c r="I19" s="22" t="s">
        <v>400</v>
      </c>
    </row>
    <row r="20" spans="1:12" x14ac:dyDescent="0.25">
      <c r="A20" s="23">
        <v>19645</v>
      </c>
      <c r="B20" s="24">
        <v>354</v>
      </c>
      <c r="C20" s="24">
        <v>0</v>
      </c>
      <c r="D20" s="24">
        <v>354</v>
      </c>
      <c r="E20" s="24">
        <v>354</v>
      </c>
      <c r="F20" s="24">
        <v>7</v>
      </c>
      <c r="G20" s="57">
        <f t="shared" si="0"/>
        <v>361</v>
      </c>
      <c r="H20" s="55">
        <v>361</v>
      </c>
      <c r="I20" s="22" t="str">
        <f>IF(G20=H20,"ok","erro")</f>
        <v>ok</v>
      </c>
      <c r="J20" s="25" t="str">
        <f>IF(I20="ok","frete","")</f>
        <v>frete</v>
      </c>
    </row>
    <row r="21" spans="1:12" x14ac:dyDescent="0.25">
      <c r="A21" s="23">
        <v>19646</v>
      </c>
      <c r="B21" s="24">
        <v>147.4</v>
      </c>
      <c r="C21" s="24">
        <v>7.4</v>
      </c>
      <c r="D21" s="24">
        <v>140</v>
      </c>
      <c r="E21" s="24">
        <v>140</v>
      </c>
      <c r="F21" s="24">
        <v>0</v>
      </c>
      <c r="G21" s="57">
        <f t="shared" si="0"/>
        <v>140</v>
      </c>
      <c r="H21" s="55">
        <v>140</v>
      </c>
      <c r="I21" s="22" t="s">
        <v>400</v>
      </c>
    </row>
    <row r="22" spans="1:12" x14ac:dyDescent="0.25">
      <c r="A22" s="23">
        <v>19648</v>
      </c>
      <c r="B22" s="24">
        <v>2049</v>
      </c>
      <c r="C22" s="24">
        <v>0</v>
      </c>
      <c r="D22" s="24">
        <v>2049</v>
      </c>
      <c r="E22" s="24">
        <v>2049</v>
      </c>
      <c r="F22" s="24">
        <v>0</v>
      </c>
      <c r="G22" s="57">
        <f t="shared" si="0"/>
        <v>2049</v>
      </c>
      <c r="H22" s="55">
        <v>2049</v>
      </c>
      <c r="I22" s="22" t="s">
        <v>400</v>
      </c>
    </row>
    <row r="23" spans="1:12" x14ac:dyDescent="0.25">
      <c r="A23" s="23">
        <v>19649</v>
      </c>
      <c r="B23" s="24">
        <v>163.35</v>
      </c>
      <c r="C23" s="24">
        <v>7.35</v>
      </c>
      <c r="D23" s="24">
        <v>156</v>
      </c>
      <c r="E23" s="24">
        <v>156</v>
      </c>
      <c r="F23" s="24">
        <v>0</v>
      </c>
      <c r="G23" s="57">
        <f t="shared" si="0"/>
        <v>156</v>
      </c>
      <c r="H23" s="55">
        <v>166</v>
      </c>
      <c r="I23" s="22" t="str">
        <f t="shared" ref="I23:I24" si="3">IF(G23=H23,"ok","erro")</f>
        <v>erro</v>
      </c>
      <c r="J23" s="25" t="s">
        <v>410</v>
      </c>
    </row>
    <row r="24" spans="1:12" x14ac:dyDescent="0.25">
      <c r="A24" s="23">
        <v>19650</v>
      </c>
      <c r="B24" s="24">
        <v>253.74</v>
      </c>
      <c r="C24" s="24">
        <v>0</v>
      </c>
      <c r="D24" s="24">
        <v>253.74</v>
      </c>
      <c r="E24" s="24">
        <v>253.74</v>
      </c>
      <c r="F24" s="24">
        <v>0</v>
      </c>
      <c r="G24" s="57">
        <f t="shared" si="0"/>
        <v>253.74</v>
      </c>
      <c r="H24" s="55">
        <v>262.74</v>
      </c>
      <c r="I24" s="22" t="str">
        <f t="shared" si="3"/>
        <v>erro</v>
      </c>
      <c r="J24" s="25" t="s">
        <v>410</v>
      </c>
    </row>
    <row r="25" spans="1:12" x14ac:dyDescent="0.25">
      <c r="A25" s="23">
        <v>19651</v>
      </c>
      <c r="B25" s="24">
        <v>16.88</v>
      </c>
      <c r="C25" s="24">
        <v>0</v>
      </c>
      <c r="D25" s="24">
        <v>16.88</v>
      </c>
      <c r="E25" s="24">
        <v>16.88</v>
      </c>
      <c r="F25" s="24">
        <v>0</v>
      </c>
      <c r="G25" s="57">
        <f t="shared" si="0"/>
        <v>16.88</v>
      </c>
      <c r="H25" s="55">
        <v>16.88</v>
      </c>
      <c r="I25" s="22" t="s">
        <v>400</v>
      </c>
    </row>
    <row r="26" spans="1:12" x14ac:dyDescent="0.25">
      <c r="A26" s="23">
        <v>19652</v>
      </c>
      <c r="B26" s="24">
        <v>353.64</v>
      </c>
      <c r="C26" s="24">
        <v>17.64</v>
      </c>
      <c r="D26" s="24">
        <v>336</v>
      </c>
      <c r="E26" s="24">
        <v>336</v>
      </c>
      <c r="F26" s="24">
        <v>0</v>
      </c>
      <c r="G26" s="57">
        <f t="shared" si="0"/>
        <v>336</v>
      </c>
      <c r="H26" s="55">
        <v>336</v>
      </c>
      <c r="I26" s="22" t="s">
        <v>400</v>
      </c>
    </row>
    <row r="27" spans="1:12" x14ac:dyDescent="0.25">
      <c r="A27" s="23">
        <v>19653</v>
      </c>
      <c r="B27" s="24">
        <v>94.41</v>
      </c>
      <c r="C27" s="24">
        <v>4.41</v>
      </c>
      <c r="D27" s="24">
        <v>90</v>
      </c>
      <c r="E27" s="24">
        <v>90</v>
      </c>
      <c r="F27" s="24">
        <v>0</v>
      </c>
      <c r="G27" s="57">
        <f t="shared" si="0"/>
        <v>90</v>
      </c>
      <c r="H27" s="55">
        <v>105</v>
      </c>
      <c r="I27" s="22" t="str">
        <f>IF(G27=H27,"ok","erro")</f>
        <v>erro</v>
      </c>
      <c r="J27" s="25" t="s">
        <v>410</v>
      </c>
    </row>
    <row r="28" spans="1:12" x14ac:dyDescent="0.25">
      <c r="A28" s="23">
        <v>19654</v>
      </c>
      <c r="B28" s="24">
        <v>42.11</v>
      </c>
      <c r="C28" s="24">
        <v>2.11</v>
      </c>
      <c r="D28" s="24">
        <v>40</v>
      </c>
      <c r="E28" s="24">
        <v>40</v>
      </c>
      <c r="F28" s="24">
        <v>0</v>
      </c>
      <c r="G28" s="57">
        <f t="shared" si="0"/>
        <v>40</v>
      </c>
      <c r="H28" s="55">
        <v>40</v>
      </c>
      <c r="I28" s="22" t="s">
        <v>400</v>
      </c>
    </row>
    <row r="29" spans="1:12" x14ac:dyDescent="0.25">
      <c r="A29" s="23">
        <v>19655</v>
      </c>
      <c r="B29" s="24">
        <v>168.44</v>
      </c>
      <c r="C29" s="24">
        <v>8.44</v>
      </c>
      <c r="D29" s="24">
        <v>160</v>
      </c>
      <c r="E29" s="24">
        <v>160</v>
      </c>
      <c r="F29" s="24">
        <v>0</v>
      </c>
      <c r="G29" s="57">
        <f t="shared" si="0"/>
        <v>160</v>
      </c>
      <c r="H29" s="55">
        <v>160</v>
      </c>
      <c r="I29" s="22" t="s">
        <v>400</v>
      </c>
    </row>
    <row r="30" spans="1:12" x14ac:dyDescent="0.25">
      <c r="A30" s="23">
        <v>19656</v>
      </c>
      <c r="B30" s="24">
        <v>139.5</v>
      </c>
      <c r="C30" s="24">
        <v>0</v>
      </c>
      <c r="D30" s="24">
        <v>139.5</v>
      </c>
      <c r="E30" s="24">
        <v>139.5</v>
      </c>
      <c r="F30" s="24">
        <v>0</v>
      </c>
      <c r="G30" s="57">
        <f t="shared" si="0"/>
        <v>139.5</v>
      </c>
      <c r="H30" s="55">
        <v>139.5</v>
      </c>
      <c r="I30" s="22" t="s">
        <v>400</v>
      </c>
    </row>
    <row r="31" spans="1:12" x14ac:dyDescent="0.25">
      <c r="A31" s="23">
        <v>19657</v>
      </c>
      <c r="B31" s="24">
        <v>766.92000000000007</v>
      </c>
      <c r="C31" s="24">
        <v>0</v>
      </c>
      <c r="D31" s="24">
        <v>766.92000000000007</v>
      </c>
      <c r="E31" s="24">
        <v>766.92000000000007</v>
      </c>
      <c r="F31" s="24">
        <v>39.989999999999995</v>
      </c>
      <c r="G31" s="57">
        <f t="shared" si="0"/>
        <v>806.91000000000008</v>
      </c>
      <c r="H31" s="55">
        <v>806.92</v>
      </c>
      <c r="I31" s="22" t="s">
        <v>406</v>
      </c>
      <c r="J31" s="25" t="s">
        <v>405</v>
      </c>
      <c r="K31" s="25"/>
      <c r="L31" s="25"/>
    </row>
    <row r="32" spans="1:12" x14ac:dyDescent="0.25">
      <c r="A32" s="23">
        <v>19658</v>
      </c>
      <c r="B32" s="24">
        <v>2114.31</v>
      </c>
      <c r="C32" s="24">
        <v>0</v>
      </c>
      <c r="D32" s="24">
        <v>2114.31</v>
      </c>
      <c r="E32" s="24">
        <v>2114.31</v>
      </c>
      <c r="F32" s="24">
        <v>0</v>
      </c>
      <c r="G32" s="57">
        <f t="shared" si="0"/>
        <v>2114.31</v>
      </c>
      <c r="H32" s="55">
        <v>2114.31</v>
      </c>
      <c r="I32" s="22" t="s">
        <v>400</v>
      </c>
    </row>
    <row r="33" spans="1:10" x14ac:dyDescent="0.25">
      <c r="A33" s="23">
        <v>19660</v>
      </c>
      <c r="B33" s="24">
        <v>117.92</v>
      </c>
      <c r="C33" s="24">
        <v>5.92</v>
      </c>
      <c r="D33" s="24">
        <v>112</v>
      </c>
      <c r="E33" s="24">
        <v>112</v>
      </c>
      <c r="F33" s="24">
        <v>0</v>
      </c>
      <c r="G33" s="57">
        <f t="shared" si="0"/>
        <v>112</v>
      </c>
      <c r="H33" s="55">
        <v>112</v>
      </c>
      <c r="I33" s="22" t="s">
        <v>400</v>
      </c>
    </row>
    <row r="34" spans="1:10" x14ac:dyDescent="0.25">
      <c r="A34" s="23">
        <v>19661</v>
      </c>
      <c r="B34" s="24">
        <v>40</v>
      </c>
      <c r="C34" s="24">
        <v>0</v>
      </c>
      <c r="D34" s="24">
        <v>40</v>
      </c>
      <c r="E34" s="24">
        <v>40</v>
      </c>
      <c r="F34" s="24">
        <v>0</v>
      </c>
      <c r="G34" s="57">
        <f t="shared" si="0"/>
        <v>40</v>
      </c>
      <c r="H34" s="55">
        <v>40</v>
      </c>
      <c r="I34" s="22" t="s">
        <v>400</v>
      </c>
    </row>
    <row r="35" spans="1:10" x14ac:dyDescent="0.25">
      <c r="A35" s="23">
        <v>19662</v>
      </c>
      <c r="B35" s="24">
        <v>117.92</v>
      </c>
      <c r="C35" s="24">
        <v>5.92</v>
      </c>
      <c r="D35" s="24">
        <v>112</v>
      </c>
      <c r="E35" s="24">
        <v>112</v>
      </c>
      <c r="F35" s="24">
        <v>0</v>
      </c>
      <c r="G35" s="57">
        <f t="shared" si="0"/>
        <v>112</v>
      </c>
      <c r="H35" s="55">
        <v>112</v>
      </c>
      <c r="I35" s="22" t="s">
        <v>400</v>
      </c>
    </row>
    <row r="36" spans="1:10" x14ac:dyDescent="0.25">
      <c r="A36" s="23">
        <v>19663</v>
      </c>
      <c r="B36" s="24">
        <v>353.64</v>
      </c>
      <c r="C36" s="24">
        <v>11.64</v>
      </c>
      <c r="D36" s="24">
        <v>342</v>
      </c>
      <c r="E36" s="24">
        <v>342</v>
      </c>
      <c r="F36" s="24">
        <v>0</v>
      </c>
      <c r="G36" s="57">
        <f t="shared" si="0"/>
        <v>342</v>
      </c>
      <c r="H36" s="55">
        <v>349</v>
      </c>
      <c r="I36" s="22" t="str">
        <f>IF(G36=H36,"ok","erro")</f>
        <v>erro</v>
      </c>
      <c r="J36" s="25" t="s">
        <v>410</v>
      </c>
    </row>
    <row r="37" spans="1:10" x14ac:dyDescent="0.25">
      <c r="A37" s="23">
        <v>19664</v>
      </c>
      <c r="B37" s="24">
        <v>120</v>
      </c>
      <c r="C37" s="24">
        <v>6</v>
      </c>
      <c r="D37" s="24">
        <v>114</v>
      </c>
      <c r="E37" s="24">
        <v>114</v>
      </c>
      <c r="F37" s="24">
        <v>0</v>
      </c>
      <c r="G37" s="57">
        <f t="shared" si="0"/>
        <v>114</v>
      </c>
      <c r="H37" s="55">
        <v>114</v>
      </c>
      <c r="I37" s="22" t="s">
        <v>400</v>
      </c>
    </row>
    <row r="38" spans="1:10" x14ac:dyDescent="0.25">
      <c r="A38" s="23">
        <v>19668</v>
      </c>
      <c r="B38" s="24">
        <v>383.53</v>
      </c>
      <c r="C38" s="24">
        <v>12.53</v>
      </c>
      <c r="D38" s="24">
        <v>371</v>
      </c>
      <c r="E38" s="24">
        <v>371</v>
      </c>
      <c r="F38" s="24">
        <v>0</v>
      </c>
      <c r="G38" s="57">
        <f t="shared" si="0"/>
        <v>371</v>
      </c>
      <c r="H38" s="55">
        <v>371</v>
      </c>
      <c r="I38" s="22" t="s">
        <v>400</v>
      </c>
    </row>
    <row r="39" spans="1:10" x14ac:dyDescent="0.25">
      <c r="A39" s="23">
        <v>19669</v>
      </c>
      <c r="B39" s="24">
        <v>155.35</v>
      </c>
      <c r="C39" s="24">
        <v>7.35</v>
      </c>
      <c r="D39" s="24">
        <v>148</v>
      </c>
      <c r="E39" s="24">
        <v>148</v>
      </c>
      <c r="F39" s="24">
        <v>0</v>
      </c>
      <c r="G39" s="57">
        <f t="shared" si="0"/>
        <v>148</v>
      </c>
      <c r="H39" s="55">
        <v>148</v>
      </c>
      <c r="I39" s="22" t="s">
        <v>400</v>
      </c>
    </row>
    <row r="40" spans="1:10" x14ac:dyDescent="0.25">
      <c r="A40" s="23">
        <v>19670</v>
      </c>
      <c r="B40" s="24">
        <v>1214.5</v>
      </c>
      <c r="C40" s="24">
        <v>239.5</v>
      </c>
      <c r="D40" s="24">
        <v>975</v>
      </c>
      <c r="E40" s="24">
        <v>975</v>
      </c>
      <c r="F40" s="24">
        <v>0</v>
      </c>
      <c r="G40" s="57">
        <f t="shared" si="0"/>
        <v>975</v>
      </c>
      <c r="H40" s="55">
        <v>975</v>
      </c>
      <c r="I40" s="22" t="s">
        <v>400</v>
      </c>
    </row>
    <row r="41" spans="1:10" x14ac:dyDescent="0.25">
      <c r="A41" s="23">
        <v>19672</v>
      </c>
      <c r="B41" s="24">
        <v>29.47</v>
      </c>
      <c r="C41" s="24">
        <v>0.97</v>
      </c>
      <c r="D41" s="24">
        <v>28.5</v>
      </c>
      <c r="E41" s="24">
        <v>28.5</v>
      </c>
      <c r="F41" s="24">
        <v>0</v>
      </c>
      <c r="G41" s="57">
        <f t="shared" si="0"/>
        <v>28.5</v>
      </c>
      <c r="H41" s="55">
        <v>28.5</v>
      </c>
      <c r="I41" s="22" t="s">
        <v>400</v>
      </c>
    </row>
    <row r="42" spans="1:10" x14ac:dyDescent="0.25">
      <c r="A42" s="23">
        <v>19673</v>
      </c>
      <c r="B42" s="24">
        <v>210.55</v>
      </c>
      <c r="C42" s="24">
        <v>10.55</v>
      </c>
      <c r="D42" s="24">
        <v>200</v>
      </c>
      <c r="E42" s="24">
        <v>200</v>
      </c>
      <c r="F42" s="24">
        <v>0</v>
      </c>
      <c r="G42" s="57">
        <f t="shared" si="0"/>
        <v>200</v>
      </c>
      <c r="H42" s="55">
        <v>214</v>
      </c>
      <c r="I42" s="22" t="str">
        <f>IF(G42=H42,"ok","erro")</f>
        <v>erro</v>
      </c>
      <c r="J42" s="25" t="s">
        <v>410</v>
      </c>
    </row>
    <row r="43" spans="1:10" x14ac:dyDescent="0.25">
      <c r="A43" s="23">
        <v>19674</v>
      </c>
      <c r="B43" s="24">
        <v>126.35</v>
      </c>
      <c r="C43" s="24">
        <v>6.35</v>
      </c>
      <c r="D43" s="24">
        <v>120</v>
      </c>
      <c r="E43" s="24">
        <v>120</v>
      </c>
      <c r="F43" s="24">
        <v>0</v>
      </c>
      <c r="G43" s="57">
        <f t="shared" si="0"/>
        <v>120</v>
      </c>
      <c r="H43" s="55">
        <v>120</v>
      </c>
      <c r="I43" s="22" t="s">
        <v>400</v>
      </c>
    </row>
    <row r="44" spans="1:10" x14ac:dyDescent="0.25">
      <c r="A44" s="23">
        <v>19675</v>
      </c>
      <c r="B44" s="24">
        <v>120</v>
      </c>
      <c r="C44" s="24">
        <v>0</v>
      </c>
      <c r="D44" s="24">
        <v>120</v>
      </c>
      <c r="E44" s="24">
        <v>120</v>
      </c>
      <c r="F44" s="24">
        <v>0</v>
      </c>
      <c r="G44" s="57">
        <f t="shared" si="0"/>
        <v>120</v>
      </c>
      <c r="H44" s="55">
        <v>120</v>
      </c>
      <c r="I44" s="22" t="s">
        <v>400</v>
      </c>
    </row>
    <row r="45" spans="1:10" x14ac:dyDescent="0.25">
      <c r="A45" s="23">
        <v>19676</v>
      </c>
      <c r="B45" s="24">
        <v>505.32</v>
      </c>
      <c r="C45" s="24">
        <v>25.32</v>
      </c>
      <c r="D45" s="24">
        <v>480</v>
      </c>
      <c r="E45" s="24">
        <v>480</v>
      </c>
      <c r="F45" s="24">
        <v>0</v>
      </c>
      <c r="G45" s="57">
        <f t="shared" si="0"/>
        <v>480</v>
      </c>
      <c r="H45" s="55">
        <v>492</v>
      </c>
      <c r="I45" s="22" t="str">
        <f>IF(G45=H45,"ok","erro")</f>
        <v>erro</v>
      </c>
      <c r="J45" s="25" t="s">
        <v>410</v>
      </c>
    </row>
    <row r="46" spans="1:10" x14ac:dyDescent="0.25">
      <c r="A46" s="23">
        <v>19677</v>
      </c>
      <c r="B46" s="24">
        <v>29.47</v>
      </c>
      <c r="C46" s="24">
        <v>1.47</v>
      </c>
      <c r="D46" s="24">
        <v>28</v>
      </c>
      <c r="E46" s="24">
        <v>28</v>
      </c>
      <c r="F46" s="24">
        <v>0</v>
      </c>
      <c r="G46" s="57">
        <f t="shared" si="0"/>
        <v>28</v>
      </c>
      <c r="H46" s="55">
        <v>28</v>
      </c>
      <c r="I46" s="22" t="s">
        <v>400</v>
      </c>
    </row>
    <row r="47" spans="1:10" x14ac:dyDescent="0.25">
      <c r="A47" s="23">
        <v>19678</v>
      </c>
      <c r="B47" s="24">
        <v>2651.15</v>
      </c>
      <c r="C47" s="24">
        <v>0</v>
      </c>
      <c r="D47" s="24">
        <v>2651.15</v>
      </c>
      <c r="E47" s="24">
        <v>2651.15</v>
      </c>
      <c r="F47" s="24">
        <v>0</v>
      </c>
      <c r="G47" s="57">
        <f t="shared" si="0"/>
        <v>2651.15</v>
      </c>
      <c r="H47" s="55">
        <v>2651.15</v>
      </c>
      <c r="I47" s="22" t="s">
        <v>400</v>
      </c>
    </row>
    <row r="48" spans="1:10" x14ac:dyDescent="0.25">
      <c r="A48" s="23">
        <v>19679</v>
      </c>
      <c r="B48" s="24">
        <v>2242.5</v>
      </c>
      <c r="C48" s="24">
        <v>0</v>
      </c>
      <c r="D48" s="24">
        <v>2242.5</v>
      </c>
      <c r="E48" s="24">
        <v>2242.5</v>
      </c>
      <c r="F48" s="24">
        <v>0</v>
      </c>
      <c r="G48" s="57">
        <f t="shared" si="0"/>
        <v>2242.5</v>
      </c>
      <c r="H48" s="55">
        <v>2242.5</v>
      </c>
      <c r="I48" s="22" t="s">
        <v>400</v>
      </c>
    </row>
    <row r="49" spans="1:12" x14ac:dyDescent="0.25">
      <c r="A49" s="23">
        <v>19681</v>
      </c>
      <c r="B49" s="24">
        <v>300.89999999999998</v>
      </c>
      <c r="C49" s="24">
        <v>15.07</v>
      </c>
      <c r="D49" s="24">
        <v>285.83</v>
      </c>
      <c r="E49" s="24">
        <v>285.83</v>
      </c>
      <c r="F49" s="24">
        <v>0</v>
      </c>
      <c r="G49" s="57">
        <f t="shared" si="0"/>
        <v>285.83</v>
      </c>
      <c r="H49" s="55">
        <v>295.83</v>
      </c>
      <c r="I49" s="22" t="str">
        <f>IF(G49=H49,"ok","erro")</f>
        <v>erro</v>
      </c>
      <c r="J49" s="25" t="s">
        <v>410</v>
      </c>
    </row>
    <row r="50" spans="1:12" x14ac:dyDescent="0.25">
      <c r="A50" s="23">
        <v>19682</v>
      </c>
      <c r="B50" s="24">
        <v>505.32</v>
      </c>
      <c r="C50" s="24">
        <v>25.32</v>
      </c>
      <c r="D50" s="24">
        <v>480</v>
      </c>
      <c r="E50" s="24">
        <v>480</v>
      </c>
      <c r="F50" s="24">
        <v>0</v>
      </c>
      <c r="G50" s="57">
        <f t="shared" si="0"/>
        <v>480</v>
      </c>
      <c r="H50" s="55">
        <v>480</v>
      </c>
      <c r="I50" s="22" t="s">
        <v>400</v>
      </c>
    </row>
    <row r="51" spans="1:12" x14ac:dyDescent="0.25">
      <c r="A51" s="23">
        <v>19683</v>
      </c>
      <c r="B51" s="24">
        <v>20</v>
      </c>
      <c r="C51" s="24">
        <v>0</v>
      </c>
      <c r="D51" s="24">
        <v>20</v>
      </c>
      <c r="E51" s="24">
        <v>20</v>
      </c>
      <c r="F51" s="24">
        <v>0</v>
      </c>
      <c r="G51" s="57">
        <f t="shared" si="0"/>
        <v>20</v>
      </c>
      <c r="H51" s="55">
        <v>20</v>
      </c>
      <c r="I51" s="22" t="s">
        <v>400</v>
      </c>
    </row>
    <row r="52" spans="1:12" x14ac:dyDescent="0.25">
      <c r="A52" s="23">
        <v>19685</v>
      </c>
      <c r="B52" s="24">
        <v>313</v>
      </c>
      <c r="C52" s="24">
        <v>0</v>
      </c>
      <c r="D52" s="24">
        <v>313</v>
      </c>
      <c r="E52" s="24">
        <v>313</v>
      </c>
      <c r="F52" s="24">
        <v>30</v>
      </c>
      <c r="G52" s="57">
        <f t="shared" si="0"/>
        <v>343</v>
      </c>
      <c r="H52" s="55">
        <v>343</v>
      </c>
      <c r="I52" s="22" t="str">
        <f t="shared" ref="I52:I54" si="4">IF(G52=H52,"ok","erro")</f>
        <v>ok</v>
      </c>
      <c r="J52" s="25" t="str">
        <f t="shared" ref="J52:J54" si="5">IF(I52="ok","frete","")</f>
        <v>frete</v>
      </c>
    </row>
    <row r="53" spans="1:12" x14ac:dyDescent="0.25">
      <c r="A53" s="23">
        <v>19687</v>
      </c>
      <c r="B53" s="24">
        <v>126.33</v>
      </c>
      <c r="C53" s="24">
        <v>6.33</v>
      </c>
      <c r="D53" s="24">
        <v>120</v>
      </c>
      <c r="E53" s="24">
        <v>120</v>
      </c>
      <c r="F53" s="24">
        <v>0</v>
      </c>
      <c r="G53" s="57">
        <f t="shared" si="0"/>
        <v>120</v>
      </c>
      <c r="H53" s="55">
        <v>134</v>
      </c>
      <c r="I53" s="22" t="str">
        <f t="shared" si="4"/>
        <v>erro</v>
      </c>
      <c r="J53" s="25" t="s">
        <v>410</v>
      </c>
    </row>
    <row r="54" spans="1:12" x14ac:dyDescent="0.25">
      <c r="A54" s="23">
        <v>19688</v>
      </c>
      <c r="B54" s="24">
        <v>419.95</v>
      </c>
      <c r="C54" s="24">
        <v>0</v>
      </c>
      <c r="D54" s="24">
        <v>419.95</v>
      </c>
      <c r="E54" s="24">
        <v>419.95</v>
      </c>
      <c r="F54" s="24">
        <v>30</v>
      </c>
      <c r="G54" s="57">
        <f t="shared" si="0"/>
        <v>449.95</v>
      </c>
      <c r="H54" s="55">
        <v>449.95</v>
      </c>
      <c r="I54" s="22" t="str">
        <f t="shared" si="4"/>
        <v>ok</v>
      </c>
      <c r="J54" s="25" t="str">
        <f t="shared" si="5"/>
        <v>frete</v>
      </c>
      <c r="K54" s="25"/>
      <c r="L54" s="25"/>
    </row>
    <row r="55" spans="1:12" x14ac:dyDescent="0.25">
      <c r="A55" s="23">
        <v>19689</v>
      </c>
      <c r="B55" s="24">
        <v>631.12</v>
      </c>
      <c r="C55" s="24">
        <v>28.68</v>
      </c>
      <c r="D55" s="24">
        <v>602.44000000000005</v>
      </c>
      <c r="E55" s="24">
        <v>602.44000000000005</v>
      </c>
      <c r="F55" s="24">
        <v>0</v>
      </c>
      <c r="G55" s="57">
        <f t="shared" si="0"/>
        <v>602.44000000000005</v>
      </c>
      <c r="H55" s="55">
        <v>602.44000000000005</v>
      </c>
      <c r="I55" s="22" t="s">
        <v>400</v>
      </c>
    </row>
    <row r="56" spans="1:12" x14ac:dyDescent="0.25">
      <c r="A56" s="23">
        <v>19690</v>
      </c>
      <c r="B56" s="24">
        <v>285</v>
      </c>
      <c r="C56" s="24">
        <v>15</v>
      </c>
      <c r="D56" s="24">
        <v>270</v>
      </c>
      <c r="E56" s="24">
        <v>270</v>
      </c>
      <c r="F56" s="24">
        <v>0</v>
      </c>
      <c r="G56" s="57">
        <f t="shared" si="0"/>
        <v>270</v>
      </c>
      <c r="H56" s="55">
        <v>270</v>
      </c>
      <c r="I56" s="22" t="s">
        <v>400</v>
      </c>
    </row>
    <row r="57" spans="1:12" x14ac:dyDescent="0.25">
      <c r="A57" s="23">
        <v>19691</v>
      </c>
      <c r="B57" s="24">
        <v>2690.64</v>
      </c>
      <c r="C57" s="24">
        <v>68.64</v>
      </c>
      <c r="D57" s="24">
        <v>2622</v>
      </c>
      <c r="E57" s="24">
        <v>2622</v>
      </c>
      <c r="F57" s="24">
        <v>0</v>
      </c>
      <c r="G57" s="57">
        <f t="shared" si="0"/>
        <v>2622</v>
      </c>
      <c r="H57" s="55">
        <v>2622</v>
      </c>
      <c r="I57" s="22" t="s">
        <v>400</v>
      </c>
    </row>
    <row r="58" spans="1:12" x14ac:dyDescent="0.25">
      <c r="A58" s="23">
        <v>19692</v>
      </c>
      <c r="B58" s="24">
        <v>30</v>
      </c>
      <c r="C58" s="24">
        <v>0</v>
      </c>
      <c r="D58" s="24">
        <v>30</v>
      </c>
      <c r="E58" s="24">
        <v>30</v>
      </c>
      <c r="F58" s="24">
        <v>0</v>
      </c>
      <c r="G58" s="57">
        <f t="shared" si="0"/>
        <v>30</v>
      </c>
      <c r="H58" s="55">
        <v>30</v>
      </c>
      <c r="I58" s="22" t="s">
        <v>400</v>
      </c>
    </row>
    <row r="59" spans="1:12" x14ac:dyDescent="0.25">
      <c r="A59" s="23">
        <v>19693</v>
      </c>
      <c r="B59" s="24">
        <v>100</v>
      </c>
      <c r="C59" s="24">
        <v>0</v>
      </c>
      <c r="D59" s="24">
        <v>100</v>
      </c>
      <c r="E59" s="24">
        <v>100</v>
      </c>
      <c r="F59" s="24">
        <v>0</v>
      </c>
      <c r="G59" s="57">
        <f t="shared" si="0"/>
        <v>100</v>
      </c>
      <c r="H59" s="55">
        <v>100</v>
      </c>
      <c r="I59" s="22" t="s">
        <v>400</v>
      </c>
    </row>
    <row r="60" spans="1:12" x14ac:dyDescent="0.25">
      <c r="A60" s="23">
        <v>19694</v>
      </c>
      <c r="B60" s="24">
        <v>110</v>
      </c>
      <c r="C60" s="24">
        <v>5</v>
      </c>
      <c r="D60" s="24">
        <v>105</v>
      </c>
      <c r="E60" s="24">
        <v>105</v>
      </c>
      <c r="F60" s="24">
        <v>0</v>
      </c>
      <c r="G60" s="57">
        <f t="shared" si="0"/>
        <v>105</v>
      </c>
      <c r="H60" s="55">
        <v>105</v>
      </c>
      <c r="I60" s="22" t="s">
        <v>400</v>
      </c>
    </row>
    <row r="61" spans="1:12" x14ac:dyDescent="0.25">
      <c r="A61" s="23">
        <v>19695</v>
      </c>
      <c r="B61" s="24">
        <v>120</v>
      </c>
      <c r="C61" s="24">
        <v>6</v>
      </c>
      <c r="D61" s="24">
        <v>114</v>
      </c>
      <c r="E61" s="24">
        <v>114</v>
      </c>
      <c r="F61" s="24">
        <v>0</v>
      </c>
      <c r="G61" s="57">
        <f t="shared" si="0"/>
        <v>114</v>
      </c>
      <c r="H61" s="55">
        <v>130</v>
      </c>
      <c r="I61" s="22" t="str">
        <f>IF(G61=H61,"ok","erro")</f>
        <v>erro</v>
      </c>
      <c r="J61" s="25" t="s">
        <v>410</v>
      </c>
    </row>
    <row r="62" spans="1:12" x14ac:dyDescent="0.25">
      <c r="A62" s="23">
        <v>19697</v>
      </c>
      <c r="B62" s="24">
        <v>1509.9</v>
      </c>
      <c r="C62" s="24">
        <v>0</v>
      </c>
      <c r="D62" s="24">
        <v>1509.9</v>
      </c>
      <c r="E62" s="24">
        <v>1509.9</v>
      </c>
      <c r="F62" s="24">
        <v>0</v>
      </c>
      <c r="G62" s="57">
        <f t="shared" si="0"/>
        <v>1509.9</v>
      </c>
      <c r="H62" s="55">
        <v>1509.9</v>
      </c>
      <c r="I62" s="22" t="s">
        <v>400</v>
      </c>
    </row>
    <row r="63" spans="1:12" x14ac:dyDescent="0.25">
      <c r="A63" s="23">
        <v>19698</v>
      </c>
      <c r="B63" s="24">
        <v>134.5</v>
      </c>
      <c r="C63" s="24">
        <v>6.75</v>
      </c>
      <c r="D63" s="24">
        <v>127.75</v>
      </c>
      <c r="E63" s="24">
        <v>127.75</v>
      </c>
      <c r="F63" s="24">
        <v>0</v>
      </c>
      <c r="G63" s="57">
        <f t="shared" si="0"/>
        <v>127.75</v>
      </c>
      <c r="H63" s="55">
        <v>127.75</v>
      </c>
      <c r="I63" s="22" t="s">
        <v>400</v>
      </c>
    </row>
    <row r="64" spans="1:12" x14ac:dyDescent="0.25">
      <c r="A64" s="23">
        <v>19699</v>
      </c>
      <c r="B64" s="24">
        <v>1760</v>
      </c>
      <c r="C64" s="24">
        <v>0</v>
      </c>
      <c r="D64" s="24">
        <v>1760</v>
      </c>
      <c r="E64" s="24">
        <v>1760</v>
      </c>
      <c r="F64" s="24">
        <v>0</v>
      </c>
      <c r="G64" s="57">
        <f t="shared" si="0"/>
        <v>1760</v>
      </c>
      <c r="H64" s="55">
        <v>1760</v>
      </c>
      <c r="I64" s="22" t="s">
        <v>400</v>
      </c>
    </row>
    <row r="65" spans="1:10" x14ac:dyDescent="0.25">
      <c r="A65" s="23">
        <v>19701</v>
      </c>
      <c r="B65" s="24">
        <v>350.4</v>
      </c>
      <c r="C65" s="24">
        <v>0</v>
      </c>
      <c r="D65" s="24">
        <v>350.4</v>
      </c>
      <c r="E65" s="24">
        <v>350.4</v>
      </c>
      <c r="F65" s="24">
        <v>0</v>
      </c>
      <c r="G65" s="57">
        <f t="shared" si="0"/>
        <v>350.4</v>
      </c>
      <c r="H65" s="55">
        <v>350.4</v>
      </c>
      <c r="I65" s="22" t="s">
        <v>400</v>
      </c>
    </row>
    <row r="66" spans="1:10" x14ac:dyDescent="0.25">
      <c r="A66" s="23">
        <v>19702</v>
      </c>
      <c r="B66" s="24">
        <v>574.67999999999995</v>
      </c>
      <c r="C66" s="24">
        <v>0</v>
      </c>
      <c r="D66" s="24">
        <v>574.67999999999995</v>
      </c>
      <c r="E66" s="24">
        <v>574.67999999999995</v>
      </c>
      <c r="F66" s="24">
        <v>0</v>
      </c>
      <c r="G66" s="57">
        <f t="shared" ref="G66:G129" si="6">E66+F66</f>
        <v>574.67999999999995</v>
      </c>
      <c r="H66" s="55">
        <v>586.67999999999995</v>
      </c>
      <c r="I66" s="22" t="str">
        <f t="shared" ref="I66:I67" si="7">IF(G66=H66,"ok","erro")</f>
        <v>erro</v>
      </c>
      <c r="J66" s="25" t="s">
        <v>410</v>
      </c>
    </row>
    <row r="67" spans="1:10" x14ac:dyDescent="0.25">
      <c r="A67" s="23">
        <v>19703</v>
      </c>
      <c r="B67" s="24">
        <v>239.45</v>
      </c>
      <c r="C67" s="24">
        <v>11.95</v>
      </c>
      <c r="D67" s="24">
        <v>227.5</v>
      </c>
      <c r="E67" s="24">
        <v>227.5</v>
      </c>
      <c r="F67" s="24">
        <v>0</v>
      </c>
      <c r="G67" s="57">
        <f t="shared" si="6"/>
        <v>227.5</v>
      </c>
      <c r="H67" s="55">
        <v>240</v>
      </c>
      <c r="I67" s="22" t="str">
        <f t="shared" si="7"/>
        <v>erro</v>
      </c>
      <c r="J67" s="25" t="s">
        <v>410</v>
      </c>
    </row>
    <row r="68" spans="1:10" x14ac:dyDescent="0.25">
      <c r="A68" s="23">
        <v>19704</v>
      </c>
      <c r="B68" s="24">
        <v>716</v>
      </c>
      <c r="C68" s="24">
        <v>0</v>
      </c>
      <c r="D68" s="24">
        <v>716</v>
      </c>
      <c r="E68" s="24">
        <v>716</v>
      </c>
      <c r="F68" s="24">
        <v>0</v>
      </c>
      <c r="G68" s="57">
        <f t="shared" si="6"/>
        <v>716</v>
      </c>
      <c r="H68" s="55">
        <v>716</v>
      </c>
      <c r="I68" s="22" t="s">
        <v>400</v>
      </c>
    </row>
    <row r="69" spans="1:10" x14ac:dyDescent="0.25">
      <c r="A69" s="23">
        <v>19705</v>
      </c>
      <c r="B69" s="24">
        <v>239.45</v>
      </c>
      <c r="C69" s="24">
        <v>11.95</v>
      </c>
      <c r="D69" s="24">
        <v>227.5</v>
      </c>
      <c r="E69" s="24">
        <v>227.5</v>
      </c>
      <c r="F69" s="24">
        <v>0</v>
      </c>
      <c r="G69" s="57">
        <f t="shared" si="6"/>
        <v>227.5</v>
      </c>
      <c r="H69" s="55">
        <v>237</v>
      </c>
      <c r="I69" s="22" t="str">
        <f>IF(G69=H69,"ok","erro")</f>
        <v>erro</v>
      </c>
      <c r="J69" s="25" t="s">
        <v>410</v>
      </c>
    </row>
    <row r="70" spans="1:10" x14ac:dyDescent="0.25">
      <c r="A70" s="23">
        <v>19706</v>
      </c>
      <c r="B70" s="24">
        <v>191.56</v>
      </c>
      <c r="C70" s="24">
        <v>9.56</v>
      </c>
      <c r="D70" s="24">
        <v>182</v>
      </c>
      <c r="E70" s="24">
        <v>182</v>
      </c>
      <c r="F70" s="24">
        <v>0</v>
      </c>
      <c r="G70" s="57">
        <f t="shared" si="6"/>
        <v>182</v>
      </c>
      <c r="H70" s="55">
        <v>182</v>
      </c>
      <c r="I70" s="22" t="s">
        <v>400</v>
      </c>
    </row>
    <row r="71" spans="1:10" x14ac:dyDescent="0.25">
      <c r="A71" s="23">
        <v>19707</v>
      </c>
      <c r="B71" s="24">
        <v>196</v>
      </c>
      <c r="C71" s="24">
        <v>7</v>
      </c>
      <c r="D71" s="24">
        <v>189</v>
      </c>
      <c r="E71" s="24">
        <v>189</v>
      </c>
      <c r="F71" s="24">
        <v>0</v>
      </c>
      <c r="G71" s="57">
        <f t="shared" si="6"/>
        <v>189</v>
      </c>
      <c r="H71" s="55">
        <v>189</v>
      </c>
      <c r="I71" s="22" t="s">
        <v>400</v>
      </c>
    </row>
    <row r="72" spans="1:10" x14ac:dyDescent="0.25">
      <c r="A72" s="23">
        <v>19708</v>
      </c>
      <c r="B72" s="24">
        <v>197.6</v>
      </c>
      <c r="C72" s="24">
        <v>9.1</v>
      </c>
      <c r="D72" s="24">
        <v>188.5</v>
      </c>
      <c r="E72" s="24">
        <v>188.5</v>
      </c>
      <c r="F72" s="24">
        <v>0</v>
      </c>
      <c r="G72" s="57">
        <f t="shared" si="6"/>
        <v>188.5</v>
      </c>
      <c r="H72" s="55">
        <v>198.5</v>
      </c>
      <c r="I72" s="22" t="str">
        <f t="shared" ref="I72:I73" si="8">IF(G72=H72,"ok","erro")</f>
        <v>erro</v>
      </c>
      <c r="J72" s="25" t="s">
        <v>410</v>
      </c>
    </row>
    <row r="73" spans="1:10" x14ac:dyDescent="0.25">
      <c r="A73" s="23">
        <v>19709</v>
      </c>
      <c r="B73" s="24">
        <v>606.36</v>
      </c>
      <c r="C73" s="24">
        <v>30.36</v>
      </c>
      <c r="D73" s="24">
        <v>576</v>
      </c>
      <c r="E73" s="24">
        <v>576</v>
      </c>
      <c r="F73" s="24">
        <v>0</v>
      </c>
      <c r="G73" s="57">
        <f t="shared" si="6"/>
        <v>576</v>
      </c>
      <c r="H73" s="55">
        <v>584</v>
      </c>
      <c r="I73" s="22" t="str">
        <f t="shared" si="8"/>
        <v>erro</v>
      </c>
      <c r="J73" s="25" t="s">
        <v>410</v>
      </c>
    </row>
    <row r="74" spans="1:10" x14ac:dyDescent="0.25">
      <c r="A74" s="23">
        <v>19710</v>
      </c>
      <c r="B74" s="24">
        <v>3158</v>
      </c>
      <c r="C74" s="24">
        <v>388</v>
      </c>
      <c r="D74" s="24">
        <v>2770</v>
      </c>
      <c r="E74" s="24">
        <v>2770</v>
      </c>
      <c r="F74" s="24">
        <v>0</v>
      </c>
      <c r="G74" s="57">
        <f t="shared" si="6"/>
        <v>2770</v>
      </c>
      <c r="H74" s="55">
        <v>2770</v>
      </c>
      <c r="I74" s="22" t="s">
        <v>400</v>
      </c>
    </row>
    <row r="75" spans="1:10" x14ac:dyDescent="0.25">
      <c r="A75" s="23">
        <v>19711</v>
      </c>
      <c r="B75" s="24">
        <v>517.32000000000005</v>
      </c>
      <c r="C75" s="24">
        <v>0</v>
      </c>
      <c r="D75" s="24">
        <v>517.32000000000005</v>
      </c>
      <c r="E75" s="24">
        <v>517.32000000000005</v>
      </c>
      <c r="F75" s="24">
        <v>0</v>
      </c>
      <c r="G75" s="57">
        <f t="shared" si="6"/>
        <v>517.32000000000005</v>
      </c>
      <c r="H75" s="55">
        <v>517.32000000000005</v>
      </c>
      <c r="I75" s="22" t="s">
        <v>400</v>
      </c>
    </row>
    <row r="76" spans="1:10" x14ac:dyDescent="0.25">
      <c r="A76" s="23">
        <v>19712</v>
      </c>
      <c r="B76" s="24">
        <v>631.65</v>
      </c>
      <c r="C76" s="24">
        <v>31.65</v>
      </c>
      <c r="D76" s="24">
        <v>600</v>
      </c>
      <c r="E76" s="24">
        <v>600</v>
      </c>
      <c r="F76" s="24">
        <v>0</v>
      </c>
      <c r="G76" s="57">
        <f t="shared" si="6"/>
        <v>600</v>
      </c>
      <c r="H76" s="55">
        <v>613</v>
      </c>
      <c r="I76" s="22" t="str">
        <f t="shared" ref="I76:I78" si="9">IF(G76=H76,"ok","erro")</f>
        <v>erro</v>
      </c>
      <c r="J76" s="25" t="s">
        <v>410</v>
      </c>
    </row>
    <row r="77" spans="1:10" x14ac:dyDescent="0.25">
      <c r="A77" s="23">
        <v>19713</v>
      </c>
      <c r="B77" s="24">
        <v>574.67999999999995</v>
      </c>
      <c r="C77" s="24">
        <v>28.68</v>
      </c>
      <c r="D77" s="24">
        <v>546</v>
      </c>
      <c r="E77" s="24">
        <v>546</v>
      </c>
      <c r="F77" s="24">
        <v>0</v>
      </c>
      <c r="G77" s="57">
        <f t="shared" si="6"/>
        <v>546</v>
      </c>
      <c r="H77" s="55">
        <v>558</v>
      </c>
      <c r="I77" s="22" t="str">
        <f t="shared" si="9"/>
        <v>erro</v>
      </c>
      <c r="J77" s="25" t="s">
        <v>410</v>
      </c>
    </row>
    <row r="78" spans="1:10" x14ac:dyDescent="0.25">
      <c r="A78" s="23">
        <v>19714</v>
      </c>
      <c r="B78" s="24">
        <v>718.35</v>
      </c>
      <c r="C78" s="24">
        <v>35.85</v>
      </c>
      <c r="D78" s="24">
        <v>682.5</v>
      </c>
      <c r="E78" s="24">
        <v>682.5</v>
      </c>
      <c r="F78" s="24">
        <v>0</v>
      </c>
      <c r="G78" s="57">
        <f t="shared" si="6"/>
        <v>682.5</v>
      </c>
      <c r="H78" s="55">
        <v>692.5</v>
      </c>
      <c r="I78" s="22" t="str">
        <f t="shared" si="9"/>
        <v>erro</v>
      </c>
      <c r="J78" s="25" t="s">
        <v>410</v>
      </c>
    </row>
    <row r="79" spans="1:10" x14ac:dyDescent="0.25">
      <c r="A79" s="23">
        <v>19715</v>
      </c>
      <c r="B79" s="24">
        <v>112</v>
      </c>
      <c r="C79" s="24">
        <v>4</v>
      </c>
      <c r="D79" s="24">
        <v>108</v>
      </c>
      <c r="E79" s="24">
        <v>108</v>
      </c>
      <c r="F79" s="24">
        <v>0</v>
      </c>
      <c r="G79" s="57">
        <f t="shared" si="6"/>
        <v>108</v>
      </c>
      <c r="H79" s="55">
        <v>108</v>
      </c>
      <c r="I79" s="22" t="s">
        <v>400</v>
      </c>
    </row>
    <row r="80" spans="1:10" x14ac:dyDescent="0.25">
      <c r="A80" s="23">
        <v>19716</v>
      </c>
      <c r="B80" s="24">
        <v>287.33999999999997</v>
      </c>
      <c r="C80" s="24">
        <v>14.34</v>
      </c>
      <c r="D80" s="24">
        <v>273</v>
      </c>
      <c r="E80" s="24">
        <v>273</v>
      </c>
      <c r="F80" s="24">
        <v>0</v>
      </c>
      <c r="G80" s="57">
        <f t="shared" si="6"/>
        <v>273</v>
      </c>
      <c r="H80" s="55">
        <v>273</v>
      </c>
      <c r="I80" s="22" t="s">
        <v>400</v>
      </c>
    </row>
    <row r="81" spans="1:10" x14ac:dyDescent="0.25">
      <c r="A81" s="23">
        <v>19717</v>
      </c>
      <c r="B81" s="24">
        <v>582.67999999999995</v>
      </c>
      <c r="C81" s="24">
        <v>28.68</v>
      </c>
      <c r="D81" s="24">
        <v>554</v>
      </c>
      <c r="E81" s="24">
        <v>554</v>
      </c>
      <c r="F81" s="24">
        <v>0</v>
      </c>
      <c r="G81" s="57">
        <f t="shared" si="6"/>
        <v>554</v>
      </c>
      <c r="H81" s="55">
        <v>554</v>
      </c>
      <c r="I81" s="22" t="s">
        <v>400</v>
      </c>
    </row>
    <row r="82" spans="1:10" x14ac:dyDescent="0.25">
      <c r="A82" s="23">
        <v>19718</v>
      </c>
      <c r="B82" s="24">
        <v>452.72</v>
      </c>
      <c r="C82" s="24">
        <v>0</v>
      </c>
      <c r="D82" s="24">
        <v>452.72</v>
      </c>
      <c r="E82" s="24">
        <v>452.72</v>
      </c>
      <c r="F82" s="24">
        <v>0</v>
      </c>
      <c r="G82" s="57">
        <f t="shared" si="6"/>
        <v>452.72</v>
      </c>
      <c r="H82" s="55">
        <v>452.72</v>
      </c>
      <c r="I82" s="22" t="s">
        <v>400</v>
      </c>
    </row>
    <row r="83" spans="1:10" x14ac:dyDescent="0.25">
      <c r="A83" s="23">
        <v>19719</v>
      </c>
      <c r="B83" s="24">
        <v>250.55</v>
      </c>
      <c r="C83" s="24">
        <v>10.55</v>
      </c>
      <c r="D83" s="24">
        <v>240</v>
      </c>
      <c r="E83" s="24">
        <v>240</v>
      </c>
      <c r="F83" s="24">
        <v>0</v>
      </c>
      <c r="G83" s="57">
        <f t="shared" si="6"/>
        <v>240</v>
      </c>
      <c r="H83" s="55">
        <v>247</v>
      </c>
      <c r="I83" s="22" t="str">
        <f t="shared" ref="I83:I84" si="10">IF(G83=H83,"ok","erro")</f>
        <v>erro</v>
      </c>
      <c r="J83" s="25" t="s">
        <v>410</v>
      </c>
    </row>
    <row r="84" spans="1:10" x14ac:dyDescent="0.25">
      <c r="A84" s="23">
        <v>19720</v>
      </c>
      <c r="B84" s="24">
        <v>189.48</v>
      </c>
      <c r="C84" s="24">
        <v>9.48</v>
      </c>
      <c r="D84" s="24">
        <v>180</v>
      </c>
      <c r="E84" s="24">
        <v>180</v>
      </c>
      <c r="F84" s="24">
        <v>0</v>
      </c>
      <c r="G84" s="57">
        <f t="shared" si="6"/>
        <v>180</v>
      </c>
      <c r="H84" s="55">
        <v>192</v>
      </c>
      <c r="I84" s="22" t="str">
        <f t="shared" si="10"/>
        <v>erro</v>
      </c>
      <c r="J84" s="25" t="s">
        <v>410</v>
      </c>
    </row>
    <row r="85" spans="1:10" x14ac:dyDescent="0.25">
      <c r="A85" s="23">
        <v>19721</v>
      </c>
      <c r="B85" s="24">
        <v>215.77</v>
      </c>
      <c r="C85" s="24">
        <v>12.77</v>
      </c>
      <c r="D85" s="24">
        <v>203</v>
      </c>
      <c r="E85" s="24">
        <v>203</v>
      </c>
      <c r="F85" s="24">
        <v>0</v>
      </c>
      <c r="G85" s="57">
        <f t="shared" si="6"/>
        <v>203</v>
      </c>
      <c r="H85" s="55">
        <v>203</v>
      </c>
      <c r="I85" s="22" t="s">
        <v>400</v>
      </c>
    </row>
    <row r="86" spans="1:10" x14ac:dyDescent="0.25">
      <c r="A86" s="23">
        <v>19722</v>
      </c>
      <c r="B86" s="24">
        <v>1030.8</v>
      </c>
      <c r="C86" s="24">
        <v>0</v>
      </c>
      <c r="D86" s="24">
        <v>1030.8</v>
      </c>
      <c r="E86" s="24">
        <v>1030.8</v>
      </c>
      <c r="F86" s="24">
        <v>0</v>
      </c>
      <c r="G86" s="57">
        <f t="shared" si="6"/>
        <v>1030.8</v>
      </c>
      <c r="H86" s="55">
        <v>1030.8</v>
      </c>
      <c r="I86" s="22" t="s">
        <v>400</v>
      </c>
    </row>
    <row r="87" spans="1:10" x14ac:dyDescent="0.25">
      <c r="A87" s="23">
        <v>19723</v>
      </c>
      <c r="B87" s="24">
        <v>143.69999999999999</v>
      </c>
      <c r="C87" s="24">
        <v>0.1</v>
      </c>
      <c r="D87" s="24">
        <v>143.6</v>
      </c>
      <c r="E87" s="24">
        <v>143.6</v>
      </c>
      <c r="F87" s="24">
        <v>0</v>
      </c>
      <c r="G87" s="57">
        <f t="shared" si="6"/>
        <v>143.6</v>
      </c>
      <c r="H87" s="55">
        <v>143.6</v>
      </c>
      <c r="I87" s="22" t="s">
        <v>400</v>
      </c>
    </row>
    <row r="88" spans="1:10" x14ac:dyDescent="0.25">
      <c r="A88" s="23">
        <v>19724</v>
      </c>
      <c r="B88" s="24">
        <v>88.22</v>
      </c>
      <c r="C88" s="24">
        <v>3</v>
      </c>
      <c r="D88" s="24">
        <v>85.22</v>
      </c>
      <c r="E88" s="24">
        <v>85.22</v>
      </c>
      <c r="F88" s="24">
        <v>0</v>
      </c>
      <c r="G88" s="57">
        <f t="shared" si="6"/>
        <v>85.22</v>
      </c>
      <c r="H88" s="55">
        <v>85.22</v>
      </c>
      <c r="I88" s="22" t="s">
        <v>400</v>
      </c>
    </row>
    <row r="89" spans="1:10" x14ac:dyDescent="0.25">
      <c r="A89" s="23">
        <v>19725</v>
      </c>
      <c r="B89" s="24">
        <v>398.96</v>
      </c>
      <c r="C89" s="24">
        <v>0</v>
      </c>
      <c r="D89" s="24">
        <v>398.96</v>
      </c>
      <c r="E89" s="24">
        <v>398.96</v>
      </c>
      <c r="F89" s="24">
        <v>0</v>
      </c>
      <c r="G89" s="57">
        <f t="shared" si="6"/>
        <v>398.96</v>
      </c>
      <c r="H89" s="55">
        <v>412.96</v>
      </c>
      <c r="I89" s="22" t="str">
        <f>IF(G89=H89,"ok","erro")</f>
        <v>erro</v>
      </c>
      <c r="J89" s="25" t="s">
        <v>410</v>
      </c>
    </row>
    <row r="90" spans="1:10" x14ac:dyDescent="0.25">
      <c r="A90" s="23">
        <v>19726</v>
      </c>
      <c r="B90" s="24">
        <v>94.74</v>
      </c>
      <c r="C90" s="24">
        <v>4.74</v>
      </c>
      <c r="D90" s="24">
        <v>90</v>
      </c>
      <c r="E90" s="24">
        <v>90</v>
      </c>
      <c r="F90" s="24">
        <v>0</v>
      </c>
      <c r="G90" s="57">
        <f t="shared" si="6"/>
        <v>90</v>
      </c>
      <c r="H90" s="55">
        <v>90</v>
      </c>
      <c r="I90" s="22" t="s">
        <v>400</v>
      </c>
    </row>
    <row r="91" spans="1:10" x14ac:dyDescent="0.25">
      <c r="A91" s="23">
        <v>19728</v>
      </c>
      <c r="B91" s="24">
        <v>95.78</v>
      </c>
      <c r="C91" s="24">
        <v>4.78</v>
      </c>
      <c r="D91" s="24">
        <v>91</v>
      </c>
      <c r="E91" s="24">
        <v>91</v>
      </c>
      <c r="F91" s="24">
        <v>0</v>
      </c>
      <c r="G91" s="57">
        <f t="shared" si="6"/>
        <v>91</v>
      </c>
      <c r="H91" s="55">
        <v>91</v>
      </c>
      <c r="I91" s="22" t="s">
        <v>400</v>
      </c>
    </row>
    <row r="92" spans="1:10" x14ac:dyDescent="0.25">
      <c r="A92" s="23">
        <v>19729</v>
      </c>
      <c r="B92" s="24">
        <v>378.96</v>
      </c>
      <c r="C92" s="24">
        <v>18.96</v>
      </c>
      <c r="D92" s="24">
        <v>360</v>
      </c>
      <c r="E92" s="24">
        <v>360</v>
      </c>
      <c r="F92" s="24">
        <v>0</v>
      </c>
      <c r="G92" s="57">
        <f t="shared" si="6"/>
        <v>360</v>
      </c>
      <c r="H92" s="55">
        <v>360</v>
      </c>
      <c r="I92" s="22" t="s">
        <v>400</v>
      </c>
    </row>
    <row r="93" spans="1:10" x14ac:dyDescent="0.25">
      <c r="A93" s="23">
        <v>19730</v>
      </c>
      <c r="B93" s="24">
        <v>1484.59</v>
      </c>
      <c r="C93" s="24">
        <v>0</v>
      </c>
      <c r="D93" s="24">
        <v>1484.59</v>
      </c>
      <c r="E93" s="24">
        <v>1484.59</v>
      </c>
      <c r="F93" s="24">
        <v>0</v>
      </c>
      <c r="G93" s="57">
        <f t="shared" si="6"/>
        <v>1484.59</v>
      </c>
      <c r="H93" s="55">
        <v>1484.59</v>
      </c>
      <c r="I93" s="22" t="s">
        <v>400</v>
      </c>
    </row>
    <row r="94" spans="1:10" x14ac:dyDescent="0.25">
      <c r="A94" s="23">
        <v>19731</v>
      </c>
      <c r="B94" s="24">
        <v>117.88</v>
      </c>
      <c r="C94" s="24">
        <v>5.88</v>
      </c>
      <c r="D94" s="24">
        <v>112</v>
      </c>
      <c r="E94" s="24">
        <v>112</v>
      </c>
      <c r="F94" s="24">
        <v>0</v>
      </c>
      <c r="G94" s="57">
        <f t="shared" si="6"/>
        <v>112</v>
      </c>
      <c r="H94" s="55">
        <v>125</v>
      </c>
      <c r="I94" s="22" t="str">
        <f>IF(G94=H94,"ok","erro")</f>
        <v>erro</v>
      </c>
      <c r="J94" s="25" t="s">
        <v>410</v>
      </c>
    </row>
    <row r="95" spans="1:10" x14ac:dyDescent="0.25">
      <c r="A95" s="23">
        <v>19732</v>
      </c>
      <c r="B95" s="24">
        <v>113.4</v>
      </c>
      <c r="C95" s="24">
        <v>11.34</v>
      </c>
      <c r="D95" s="24">
        <v>102.06</v>
      </c>
      <c r="E95" s="24">
        <v>102.06</v>
      </c>
      <c r="F95" s="24">
        <v>0</v>
      </c>
      <c r="G95" s="57">
        <f t="shared" si="6"/>
        <v>102.06</v>
      </c>
      <c r="H95" s="55">
        <v>102.06</v>
      </c>
      <c r="I95" s="22" t="s">
        <v>400</v>
      </c>
    </row>
    <row r="96" spans="1:10" x14ac:dyDescent="0.25">
      <c r="A96" s="23">
        <v>19733</v>
      </c>
      <c r="B96" s="24">
        <v>120</v>
      </c>
      <c r="C96" s="24">
        <v>0</v>
      </c>
      <c r="D96" s="24">
        <v>120</v>
      </c>
      <c r="E96" s="24">
        <v>120</v>
      </c>
      <c r="F96" s="24">
        <v>0</v>
      </c>
      <c r="G96" s="57">
        <f t="shared" si="6"/>
        <v>120</v>
      </c>
      <c r="H96" s="55">
        <v>120</v>
      </c>
      <c r="I96" s="22" t="s">
        <v>400</v>
      </c>
    </row>
    <row r="97" spans="1:12" x14ac:dyDescent="0.25">
      <c r="A97" s="23">
        <v>19734</v>
      </c>
      <c r="B97" s="24">
        <v>280</v>
      </c>
      <c r="C97" s="24">
        <v>0</v>
      </c>
      <c r="D97" s="24">
        <v>280</v>
      </c>
      <c r="E97" s="24">
        <v>280</v>
      </c>
      <c r="F97" s="24">
        <v>0</v>
      </c>
      <c r="G97" s="57">
        <f t="shared" si="6"/>
        <v>280</v>
      </c>
      <c r="H97" s="55">
        <v>280</v>
      </c>
      <c r="I97" s="22" t="s">
        <v>400</v>
      </c>
    </row>
    <row r="98" spans="1:12" x14ac:dyDescent="0.25">
      <c r="A98" s="23">
        <v>19735</v>
      </c>
      <c r="B98" s="24">
        <v>435.84</v>
      </c>
      <c r="C98" s="24">
        <v>0</v>
      </c>
      <c r="D98" s="24">
        <v>435.84</v>
      </c>
      <c r="E98" s="24">
        <v>435.84</v>
      </c>
      <c r="F98" s="24">
        <v>0</v>
      </c>
      <c r="G98" s="57">
        <f t="shared" si="6"/>
        <v>435.84</v>
      </c>
      <c r="H98" s="55">
        <v>444.84</v>
      </c>
      <c r="I98" s="22" t="str">
        <f t="shared" ref="I98:I99" si="11">IF(G98=H98,"ok","erro")</f>
        <v>erro</v>
      </c>
      <c r="J98" s="25" t="s">
        <v>410</v>
      </c>
    </row>
    <row r="99" spans="1:12" x14ac:dyDescent="0.25">
      <c r="A99" s="23">
        <v>19736</v>
      </c>
      <c r="B99" s="24">
        <v>425.78000000000003</v>
      </c>
      <c r="C99" s="24">
        <v>0</v>
      </c>
      <c r="D99" s="24">
        <v>425.78000000000003</v>
      </c>
      <c r="E99" s="24">
        <v>425.78000000000003</v>
      </c>
      <c r="F99" s="24">
        <v>90.009999999999991</v>
      </c>
      <c r="G99" s="57">
        <f t="shared" si="6"/>
        <v>515.79</v>
      </c>
      <c r="H99" s="55">
        <v>515.78</v>
      </c>
      <c r="I99" s="22" t="s">
        <v>406</v>
      </c>
      <c r="J99" s="25" t="s">
        <v>405</v>
      </c>
      <c r="K99" s="25"/>
      <c r="L99" s="25"/>
    </row>
    <row r="100" spans="1:12" x14ac:dyDescent="0.25">
      <c r="A100" s="23">
        <v>19737</v>
      </c>
      <c r="B100" s="24">
        <v>144.22</v>
      </c>
      <c r="C100" s="24">
        <v>0</v>
      </c>
      <c r="D100" s="24">
        <v>144.22</v>
      </c>
      <c r="E100" s="24">
        <v>144.22</v>
      </c>
      <c r="F100" s="24">
        <v>0</v>
      </c>
      <c r="G100" s="57">
        <f t="shared" si="6"/>
        <v>144.22</v>
      </c>
      <c r="H100" s="55">
        <v>144.22</v>
      </c>
      <c r="I100" s="22" t="s">
        <v>400</v>
      </c>
    </row>
    <row r="101" spans="1:12" x14ac:dyDescent="0.25">
      <c r="A101" s="23">
        <v>19738</v>
      </c>
      <c r="B101" s="24">
        <v>76.47</v>
      </c>
      <c r="C101" s="24">
        <v>3.47</v>
      </c>
      <c r="D101" s="24">
        <v>73</v>
      </c>
      <c r="E101" s="24">
        <v>73</v>
      </c>
      <c r="F101" s="24">
        <v>0</v>
      </c>
      <c r="G101" s="57">
        <f t="shared" si="6"/>
        <v>73</v>
      </c>
      <c r="H101" s="55">
        <v>73</v>
      </c>
      <c r="I101" s="22" t="s">
        <v>400</v>
      </c>
    </row>
    <row r="102" spans="1:12" x14ac:dyDescent="0.25">
      <c r="A102" s="23">
        <v>19739</v>
      </c>
      <c r="B102" s="24">
        <v>140</v>
      </c>
      <c r="C102" s="24">
        <v>5</v>
      </c>
      <c r="D102" s="24">
        <v>135</v>
      </c>
      <c r="E102" s="24">
        <v>135</v>
      </c>
      <c r="F102" s="24">
        <v>0</v>
      </c>
      <c r="G102" s="57">
        <f t="shared" si="6"/>
        <v>135</v>
      </c>
      <c r="H102" s="55">
        <v>135</v>
      </c>
      <c r="I102" s="22" t="s">
        <v>400</v>
      </c>
    </row>
    <row r="103" spans="1:12" x14ac:dyDescent="0.25">
      <c r="A103" s="23">
        <v>19740</v>
      </c>
      <c r="B103" s="24">
        <v>10</v>
      </c>
      <c r="C103" s="24">
        <v>0</v>
      </c>
      <c r="D103" s="24">
        <v>10</v>
      </c>
      <c r="E103" s="24">
        <v>10</v>
      </c>
      <c r="F103" s="24">
        <v>0</v>
      </c>
      <c r="G103" s="57">
        <f t="shared" si="6"/>
        <v>10</v>
      </c>
      <c r="H103" s="55">
        <v>10</v>
      </c>
      <c r="I103" s="22" t="s">
        <v>400</v>
      </c>
    </row>
    <row r="104" spans="1:12" x14ac:dyDescent="0.25">
      <c r="A104" s="23">
        <v>19741</v>
      </c>
      <c r="B104" s="24">
        <v>110</v>
      </c>
      <c r="C104" s="24">
        <v>5.5</v>
      </c>
      <c r="D104" s="24">
        <v>104.5</v>
      </c>
      <c r="E104" s="24">
        <v>104.5</v>
      </c>
      <c r="F104" s="24">
        <v>0</v>
      </c>
      <c r="G104" s="57">
        <f t="shared" si="6"/>
        <v>104.5</v>
      </c>
      <c r="H104" s="55">
        <v>104.5</v>
      </c>
      <c r="I104" s="22" t="s">
        <v>400</v>
      </c>
    </row>
    <row r="105" spans="1:12" x14ac:dyDescent="0.25">
      <c r="A105" s="23">
        <v>19742</v>
      </c>
      <c r="B105" s="24">
        <v>155.35</v>
      </c>
      <c r="C105" s="24">
        <v>7.35</v>
      </c>
      <c r="D105" s="24">
        <v>148</v>
      </c>
      <c r="E105" s="24">
        <v>148</v>
      </c>
      <c r="F105" s="24">
        <v>0</v>
      </c>
      <c r="G105" s="57">
        <f t="shared" si="6"/>
        <v>148</v>
      </c>
      <c r="H105" s="55">
        <v>148</v>
      </c>
      <c r="I105" s="22" t="s">
        <v>400</v>
      </c>
    </row>
    <row r="106" spans="1:12" x14ac:dyDescent="0.25">
      <c r="A106" s="23">
        <v>19743</v>
      </c>
      <c r="B106" s="24">
        <v>1490</v>
      </c>
      <c r="C106" s="24">
        <v>0</v>
      </c>
      <c r="D106" s="24">
        <v>1490</v>
      </c>
      <c r="E106" s="24">
        <v>1490</v>
      </c>
      <c r="F106" s="24">
        <v>0</v>
      </c>
      <c r="G106" s="57">
        <f t="shared" si="6"/>
        <v>1490</v>
      </c>
      <c r="H106" s="55">
        <v>1490</v>
      </c>
      <c r="I106" s="22" t="s">
        <v>400</v>
      </c>
    </row>
    <row r="107" spans="1:12" x14ac:dyDescent="0.25">
      <c r="A107" s="23">
        <v>19744</v>
      </c>
      <c r="B107" s="24">
        <v>150</v>
      </c>
      <c r="C107" s="24">
        <v>0</v>
      </c>
      <c r="D107" s="24">
        <v>150</v>
      </c>
      <c r="E107" s="24">
        <v>150</v>
      </c>
      <c r="F107" s="24">
        <v>0</v>
      </c>
      <c r="G107" s="57">
        <f t="shared" si="6"/>
        <v>150</v>
      </c>
      <c r="H107" s="55">
        <v>150</v>
      </c>
      <c r="I107" s="22" t="s">
        <v>400</v>
      </c>
    </row>
    <row r="108" spans="1:12" x14ac:dyDescent="0.25">
      <c r="A108" s="23">
        <v>19746</v>
      </c>
      <c r="B108" s="24">
        <v>112</v>
      </c>
      <c r="C108" s="24">
        <v>2</v>
      </c>
      <c r="D108" s="24">
        <v>110</v>
      </c>
      <c r="E108" s="24">
        <v>110</v>
      </c>
      <c r="F108" s="24">
        <v>0</v>
      </c>
      <c r="G108" s="57">
        <f t="shared" si="6"/>
        <v>110</v>
      </c>
      <c r="H108" s="55">
        <v>123</v>
      </c>
      <c r="I108" s="22" t="str">
        <f>IF(G108=H108,"ok","erro")</f>
        <v>erro</v>
      </c>
      <c r="J108" s="25" t="s">
        <v>410</v>
      </c>
    </row>
    <row r="109" spans="1:12" x14ac:dyDescent="0.25">
      <c r="A109" s="23">
        <v>19747</v>
      </c>
      <c r="B109" s="24">
        <v>191.56</v>
      </c>
      <c r="C109" s="24">
        <v>9.56</v>
      </c>
      <c r="D109" s="24">
        <v>182</v>
      </c>
      <c r="E109" s="24">
        <v>182</v>
      </c>
      <c r="F109" s="24">
        <v>0</v>
      </c>
      <c r="G109" s="57">
        <f t="shared" si="6"/>
        <v>182</v>
      </c>
      <c r="H109" s="55">
        <v>182</v>
      </c>
      <c r="I109" s="22" t="s">
        <v>400</v>
      </c>
    </row>
    <row r="110" spans="1:12" x14ac:dyDescent="0.25">
      <c r="A110" s="23">
        <v>19748</v>
      </c>
      <c r="B110" s="24">
        <v>327.92</v>
      </c>
      <c r="C110" s="24">
        <v>0</v>
      </c>
      <c r="D110" s="24">
        <v>327.92</v>
      </c>
      <c r="E110" s="24">
        <v>327.92</v>
      </c>
      <c r="F110" s="24">
        <v>0</v>
      </c>
      <c r="G110" s="57">
        <f t="shared" si="6"/>
        <v>327.92</v>
      </c>
      <c r="H110" s="55">
        <v>327.92</v>
      </c>
      <c r="I110" s="22" t="s">
        <v>400</v>
      </c>
    </row>
    <row r="111" spans="1:12" x14ac:dyDescent="0.25">
      <c r="A111" s="23">
        <v>19749</v>
      </c>
      <c r="B111" s="24">
        <v>133.88</v>
      </c>
      <c r="C111" s="24">
        <v>5.88</v>
      </c>
      <c r="D111" s="24">
        <v>128</v>
      </c>
      <c r="E111" s="24">
        <v>128</v>
      </c>
      <c r="F111" s="24">
        <v>0</v>
      </c>
      <c r="G111" s="57">
        <f t="shared" si="6"/>
        <v>128</v>
      </c>
      <c r="H111" s="55">
        <v>138</v>
      </c>
      <c r="I111" s="22" t="str">
        <f>IF(G111=H111,"ok","erro")</f>
        <v>erro</v>
      </c>
      <c r="J111" s="25" t="s">
        <v>410</v>
      </c>
    </row>
    <row r="112" spans="1:12" x14ac:dyDescent="0.25">
      <c r="A112" s="23">
        <v>19750</v>
      </c>
      <c r="B112" s="24">
        <v>23883.5</v>
      </c>
      <c r="C112" s="24">
        <v>458</v>
      </c>
      <c r="D112" s="24">
        <v>23425.5</v>
      </c>
      <c r="E112" s="24">
        <v>23425.5</v>
      </c>
      <c r="F112" s="24">
        <v>0</v>
      </c>
      <c r="G112" s="57">
        <f t="shared" si="6"/>
        <v>23425.5</v>
      </c>
      <c r="H112" s="55">
        <v>23425.5</v>
      </c>
      <c r="I112" s="22" t="s">
        <v>400</v>
      </c>
    </row>
    <row r="113" spans="1:10" x14ac:dyDescent="0.25">
      <c r="A113" s="23">
        <v>19751</v>
      </c>
      <c r="B113" s="24">
        <v>779.42</v>
      </c>
      <c r="C113" s="24">
        <v>38.92</v>
      </c>
      <c r="D113" s="24">
        <v>740.5</v>
      </c>
      <c r="E113" s="24">
        <v>740.5</v>
      </c>
      <c r="F113" s="24">
        <v>0</v>
      </c>
      <c r="G113" s="57">
        <f t="shared" si="6"/>
        <v>740.5</v>
      </c>
      <c r="H113" s="55">
        <v>749.5</v>
      </c>
      <c r="I113" s="22" t="str">
        <f t="shared" ref="I113:I115" si="12">IF(G113=H113,"ok","erro")</f>
        <v>erro</v>
      </c>
      <c r="J113" s="25" t="s">
        <v>410</v>
      </c>
    </row>
    <row r="114" spans="1:10" x14ac:dyDescent="0.25">
      <c r="A114" s="23">
        <v>19752</v>
      </c>
      <c r="B114" s="24">
        <v>353.64</v>
      </c>
      <c r="C114" s="24">
        <v>17.64</v>
      </c>
      <c r="D114" s="24">
        <v>336</v>
      </c>
      <c r="E114" s="24">
        <v>336</v>
      </c>
      <c r="F114" s="24">
        <v>0</v>
      </c>
      <c r="G114" s="57">
        <f t="shared" si="6"/>
        <v>336</v>
      </c>
      <c r="H114" s="55">
        <v>345</v>
      </c>
      <c r="I114" s="22" t="str">
        <f t="shared" si="12"/>
        <v>erro</v>
      </c>
      <c r="J114" s="25" t="s">
        <v>410</v>
      </c>
    </row>
    <row r="115" spans="1:10" x14ac:dyDescent="0.25">
      <c r="A115" s="23">
        <v>19753</v>
      </c>
      <c r="B115" s="24">
        <v>378.96</v>
      </c>
      <c r="C115" s="24">
        <v>18.96</v>
      </c>
      <c r="D115" s="24">
        <v>360</v>
      </c>
      <c r="E115" s="24">
        <v>360</v>
      </c>
      <c r="F115" s="24">
        <v>0</v>
      </c>
      <c r="G115" s="57">
        <f t="shared" si="6"/>
        <v>360</v>
      </c>
      <c r="H115" s="55">
        <v>370</v>
      </c>
      <c r="I115" s="22" t="str">
        <f t="shared" si="12"/>
        <v>erro</v>
      </c>
      <c r="J115" s="25" t="s">
        <v>410</v>
      </c>
    </row>
    <row r="116" spans="1:10" x14ac:dyDescent="0.25">
      <c r="A116" s="23">
        <v>19754</v>
      </c>
      <c r="B116" s="24">
        <v>187.89</v>
      </c>
      <c r="C116" s="24">
        <v>7.89</v>
      </c>
      <c r="D116" s="24">
        <v>180</v>
      </c>
      <c r="E116" s="24">
        <v>180</v>
      </c>
      <c r="F116" s="24">
        <v>0</v>
      </c>
      <c r="G116" s="57">
        <f t="shared" si="6"/>
        <v>180</v>
      </c>
      <c r="H116" s="55">
        <v>180</v>
      </c>
      <c r="I116" s="22" t="s">
        <v>400</v>
      </c>
    </row>
    <row r="117" spans="1:10" x14ac:dyDescent="0.25">
      <c r="A117" s="23">
        <v>19755</v>
      </c>
      <c r="B117" s="24">
        <v>3934.54</v>
      </c>
      <c r="C117" s="24">
        <v>303.68</v>
      </c>
      <c r="D117" s="24">
        <v>3630.86</v>
      </c>
      <c r="E117" s="24">
        <v>3630.86</v>
      </c>
      <c r="F117" s="24">
        <v>0</v>
      </c>
      <c r="G117" s="57">
        <f t="shared" si="6"/>
        <v>3630.86</v>
      </c>
      <c r="H117" s="55">
        <v>3630.86</v>
      </c>
      <c r="I117" s="22" t="s">
        <v>400</v>
      </c>
    </row>
    <row r="118" spans="1:10" x14ac:dyDescent="0.25">
      <c r="A118" s="23">
        <v>19757</v>
      </c>
      <c r="B118" s="24">
        <v>500</v>
      </c>
      <c r="C118" s="24">
        <v>0</v>
      </c>
      <c r="D118" s="24">
        <v>500</v>
      </c>
      <c r="E118" s="24">
        <v>500</v>
      </c>
      <c r="F118" s="24">
        <v>0</v>
      </c>
      <c r="G118" s="57">
        <f t="shared" si="6"/>
        <v>500</v>
      </c>
      <c r="H118" s="55">
        <v>527</v>
      </c>
      <c r="I118" s="22" t="str">
        <f>IF(G118=H118,"ok","erro")</f>
        <v>erro</v>
      </c>
      <c r="J118" s="25" t="s">
        <v>410</v>
      </c>
    </row>
    <row r="119" spans="1:10" x14ac:dyDescent="0.25">
      <c r="A119" s="23">
        <v>19758</v>
      </c>
      <c r="B119" s="24">
        <v>143.66999999999999</v>
      </c>
      <c r="C119" s="24">
        <v>7.17</v>
      </c>
      <c r="D119" s="24">
        <v>136.5</v>
      </c>
      <c r="E119" s="24">
        <v>136.5</v>
      </c>
      <c r="F119" s="24">
        <v>0</v>
      </c>
      <c r="G119" s="57">
        <f t="shared" si="6"/>
        <v>136.5</v>
      </c>
      <c r="H119" s="55">
        <v>136.5</v>
      </c>
      <c r="I119" s="22" t="s">
        <v>400</v>
      </c>
    </row>
    <row r="120" spans="1:10" x14ac:dyDescent="0.25">
      <c r="A120" s="23">
        <v>19759</v>
      </c>
      <c r="B120" s="24">
        <v>47.89</v>
      </c>
      <c r="C120" s="24">
        <v>2.39</v>
      </c>
      <c r="D120" s="24">
        <v>45.5</v>
      </c>
      <c r="E120" s="24">
        <v>45.5</v>
      </c>
      <c r="F120" s="24">
        <v>0</v>
      </c>
      <c r="G120" s="57">
        <f t="shared" si="6"/>
        <v>45.5</v>
      </c>
      <c r="H120" s="55">
        <v>53.5</v>
      </c>
      <c r="I120" s="22" t="str">
        <f t="shared" ref="I120:I121" si="13">IF(G120=H120,"ok","erro")</f>
        <v>erro</v>
      </c>
      <c r="J120" s="25" t="s">
        <v>410</v>
      </c>
    </row>
    <row r="121" spans="1:10" x14ac:dyDescent="0.25">
      <c r="A121" s="23">
        <v>19761</v>
      </c>
      <c r="B121" s="24">
        <v>185.6</v>
      </c>
      <c r="C121" s="24">
        <v>9.1</v>
      </c>
      <c r="D121" s="24">
        <v>176.5</v>
      </c>
      <c r="E121" s="24">
        <v>176.5</v>
      </c>
      <c r="F121" s="24">
        <v>0</v>
      </c>
      <c r="G121" s="57">
        <f t="shared" si="6"/>
        <v>176.5</v>
      </c>
      <c r="H121" s="55">
        <v>188.5</v>
      </c>
      <c r="I121" s="22" t="str">
        <f t="shared" si="13"/>
        <v>erro</v>
      </c>
      <c r="J121" s="25" t="s">
        <v>410</v>
      </c>
    </row>
    <row r="122" spans="1:10" x14ac:dyDescent="0.25">
      <c r="A122" s="23">
        <v>19762</v>
      </c>
      <c r="B122" s="24">
        <v>191.56</v>
      </c>
      <c r="C122" s="24">
        <v>9.56</v>
      </c>
      <c r="D122" s="24">
        <v>182</v>
      </c>
      <c r="E122" s="24">
        <v>182</v>
      </c>
      <c r="F122" s="24">
        <v>0</v>
      </c>
      <c r="G122" s="57">
        <f t="shared" si="6"/>
        <v>182</v>
      </c>
      <c r="H122" s="55">
        <v>182</v>
      </c>
      <c r="I122" s="22" t="s">
        <v>400</v>
      </c>
    </row>
    <row r="123" spans="1:10" x14ac:dyDescent="0.25">
      <c r="A123" s="23">
        <v>19763</v>
      </c>
      <c r="B123" s="24">
        <v>126.32</v>
      </c>
      <c r="C123" s="24">
        <v>6.32</v>
      </c>
      <c r="D123" s="24">
        <v>120</v>
      </c>
      <c r="E123" s="24">
        <v>120</v>
      </c>
      <c r="F123" s="24">
        <v>0</v>
      </c>
      <c r="G123" s="57">
        <f t="shared" si="6"/>
        <v>120</v>
      </c>
      <c r="H123" s="55">
        <v>120</v>
      </c>
      <c r="I123" s="22" t="s">
        <v>400</v>
      </c>
    </row>
    <row r="124" spans="1:10" x14ac:dyDescent="0.25">
      <c r="A124" s="23">
        <v>19764</v>
      </c>
      <c r="B124" s="24">
        <v>10211.959999999999</v>
      </c>
      <c r="C124" s="24">
        <v>629.95000000000005</v>
      </c>
      <c r="D124" s="24">
        <v>9582.01</v>
      </c>
      <c r="E124" s="24">
        <v>9582.01</v>
      </c>
      <c r="F124" s="24">
        <v>0</v>
      </c>
      <c r="G124" s="57">
        <f t="shared" si="6"/>
        <v>9582.01</v>
      </c>
      <c r="H124" s="55">
        <v>9582.01</v>
      </c>
      <c r="I124" s="22" t="s">
        <v>400</v>
      </c>
    </row>
    <row r="125" spans="1:10" x14ac:dyDescent="0.25">
      <c r="A125" s="23">
        <v>19766</v>
      </c>
      <c r="B125" s="24">
        <v>666.88</v>
      </c>
      <c r="C125" s="24">
        <v>32.880000000000003</v>
      </c>
      <c r="D125" s="24">
        <v>634</v>
      </c>
      <c r="E125" s="24">
        <v>634</v>
      </c>
      <c r="F125" s="24">
        <v>0</v>
      </c>
      <c r="G125" s="57">
        <f t="shared" si="6"/>
        <v>634</v>
      </c>
      <c r="H125" s="55">
        <v>634</v>
      </c>
      <c r="I125" s="22" t="s">
        <v>400</v>
      </c>
    </row>
    <row r="126" spans="1:10" x14ac:dyDescent="0.25">
      <c r="A126" s="23">
        <v>19769</v>
      </c>
      <c r="B126" s="24">
        <v>378.96</v>
      </c>
      <c r="C126" s="24">
        <v>0</v>
      </c>
      <c r="D126" s="24">
        <v>378.96</v>
      </c>
      <c r="E126" s="24">
        <v>378.96</v>
      </c>
      <c r="F126" s="24">
        <v>0</v>
      </c>
      <c r="G126" s="57">
        <f t="shared" si="6"/>
        <v>378.96</v>
      </c>
      <c r="H126" s="55">
        <v>387.96</v>
      </c>
      <c r="I126" s="22" t="str">
        <f>IF(G126=H126,"ok","erro")</f>
        <v>erro</v>
      </c>
      <c r="J126" s="25" t="s">
        <v>410</v>
      </c>
    </row>
    <row r="127" spans="1:10" x14ac:dyDescent="0.25">
      <c r="A127" s="23">
        <v>19770</v>
      </c>
      <c r="B127" s="24">
        <v>108.7</v>
      </c>
      <c r="C127" s="24">
        <v>0</v>
      </c>
      <c r="D127" s="24">
        <v>108.7</v>
      </c>
      <c r="E127" s="24">
        <v>108.7</v>
      </c>
      <c r="F127" s="24">
        <v>0</v>
      </c>
      <c r="G127" s="57">
        <f t="shared" si="6"/>
        <v>108.7</v>
      </c>
      <c r="H127" s="55">
        <v>108.7</v>
      </c>
      <c r="I127" s="22" t="s">
        <v>400</v>
      </c>
    </row>
    <row r="128" spans="1:10" x14ac:dyDescent="0.25">
      <c r="A128" s="23">
        <v>19771</v>
      </c>
      <c r="B128" s="24">
        <v>1010.64</v>
      </c>
      <c r="C128" s="24">
        <v>50.64</v>
      </c>
      <c r="D128" s="24">
        <v>960</v>
      </c>
      <c r="E128" s="24">
        <v>960</v>
      </c>
      <c r="F128" s="24">
        <v>0</v>
      </c>
      <c r="G128" s="57">
        <f t="shared" si="6"/>
        <v>960</v>
      </c>
      <c r="H128" s="55">
        <v>974</v>
      </c>
      <c r="I128" s="22" t="str">
        <f>IF(G128=H128,"ok","erro")</f>
        <v>erro</v>
      </c>
      <c r="J128" s="25" t="s">
        <v>410</v>
      </c>
    </row>
    <row r="129" spans="1:10" x14ac:dyDescent="0.25">
      <c r="A129" s="23">
        <v>19772</v>
      </c>
      <c r="B129" s="24">
        <v>574.67999999999995</v>
      </c>
      <c r="C129" s="24">
        <v>28.68</v>
      </c>
      <c r="D129" s="24">
        <v>546</v>
      </c>
      <c r="E129" s="24">
        <v>546</v>
      </c>
      <c r="F129" s="24">
        <v>0</v>
      </c>
      <c r="G129" s="57">
        <f t="shared" si="6"/>
        <v>546</v>
      </c>
      <c r="H129" s="55">
        <v>546</v>
      </c>
      <c r="I129" s="22" t="s">
        <v>400</v>
      </c>
    </row>
    <row r="130" spans="1:10" x14ac:dyDescent="0.25">
      <c r="A130" s="23">
        <v>19773</v>
      </c>
      <c r="B130" s="24">
        <v>288.44</v>
      </c>
      <c r="C130" s="24">
        <v>22.44</v>
      </c>
      <c r="D130" s="24">
        <v>266</v>
      </c>
      <c r="E130" s="24">
        <v>266</v>
      </c>
      <c r="F130" s="24">
        <v>0</v>
      </c>
      <c r="G130" s="57">
        <f t="shared" ref="G130:G193" si="14">E130+F130</f>
        <v>266</v>
      </c>
      <c r="H130" s="55">
        <v>275</v>
      </c>
      <c r="I130" s="22" t="str">
        <f>IF(G130=H130,"ok","erro")</f>
        <v>erro</v>
      </c>
      <c r="J130" s="25" t="s">
        <v>410</v>
      </c>
    </row>
    <row r="131" spans="1:10" x14ac:dyDescent="0.25">
      <c r="A131" s="23">
        <v>19774</v>
      </c>
      <c r="B131" s="24">
        <v>70</v>
      </c>
      <c r="C131" s="24">
        <v>0</v>
      </c>
      <c r="D131" s="24">
        <v>70</v>
      </c>
      <c r="E131" s="24">
        <v>70</v>
      </c>
      <c r="F131" s="24">
        <v>0</v>
      </c>
      <c r="G131" s="57">
        <f t="shared" si="14"/>
        <v>70</v>
      </c>
      <c r="H131" s="55">
        <v>70</v>
      </c>
      <c r="I131" s="22" t="s">
        <v>400</v>
      </c>
    </row>
    <row r="132" spans="1:10" x14ac:dyDescent="0.25">
      <c r="A132" s="23">
        <v>19775</v>
      </c>
      <c r="B132" s="24">
        <v>154.4</v>
      </c>
      <c r="C132" s="24">
        <v>4.4000000000000004</v>
      </c>
      <c r="D132" s="24">
        <v>150</v>
      </c>
      <c r="E132" s="24">
        <v>150</v>
      </c>
      <c r="F132" s="24">
        <v>0</v>
      </c>
      <c r="G132" s="57">
        <f t="shared" si="14"/>
        <v>150</v>
      </c>
      <c r="H132" s="55">
        <v>150</v>
      </c>
      <c r="I132" s="22" t="s">
        <v>400</v>
      </c>
    </row>
    <row r="133" spans="1:10" x14ac:dyDescent="0.25">
      <c r="A133" s="23">
        <v>19776</v>
      </c>
      <c r="B133" s="24">
        <v>92.41</v>
      </c>
      <c r="C133" s="24">
        <v>4.41</v>
      </c>
      <c r="D133" s="24">
        <v>88</v>
      </c>
      <c r="E133" s="24">
        <v>88</v>
      </c>
      <c r="F133" s="24">
        <v>0</v>
      </c>
      <c r="G133" s="57">
        <f t="shared" si="14"/>
        <v>88</v>
      </c>
      <c r="H133" s="55">
        <v>100</v>
      </c>
      <c r="I133" s="22" t="str">
        <f>IF(G133=H133,"ok","erro")</f>
        <v>erro</v>
      </c>
      <c r="J133" s="25" t="s">
        <v>410</v>
      </c>
    </row>
    <row r="134" spans="1:10" x14ac:dyDescent="0.25">
      <c r="A134" s="23">
        <v>19777</v>
      </c>
      <c r="B134" s="24">
        <v>20314.599999999999</v>
      </c>
      <c r="C134" s="24">
        <v>608.97</v>
      </c>
      <c r="D134" s="24">
        <v>19705.63</v>
      </c>
      <c r="E134" s="24">
        <v>19705.63</v>
      </c>
      <c r="F134" s="24">
        <v>0</v>
      </c>
      <c r="G134" s="57">
        <f t="shared" si="14"/>
        <v>19705.63</v>
      </c>
      <c r="H134" s="55">
        <v>19705.63</v>
      </c>
      <c r="I134" s="22" t="s">
        <v>400</v>
      </c>
    </row>
    <row r="135" spans="1:10" x14ac:dyDescent="0.25">
      <c r="A135" s="23">
        <v>19779</v>
      </c>
      <c r="B135" s="24">
        <v>687.5</v>
      </c>
      <c r="C135" s="24">
        <v>62.5</v>
      </c>
      <c r="D135" s="24">
        <v>625</v>
      </c>
      <c r="E135" s="24">
        <v>625</v>
      </c>
      <c r="F135" s="24">
        <v>0</v>
      </c>
      <c r="G135" s="57">
        <f t="shared" si="14"/>
        <v>625</v>
      </c>
      <c r="H135" s="55">
        <v>625</v>
      </c>
      <c r="I135" s="22" t="s">
        <v>400</v>
      </c>
    </row>
    <row r="136" spans="1:10" x14ac:dyDescent="0.25">
      <c r="A136" s="23">
        <v>19780</v>
      </c>
      <c r="B136" s="24">
        <v>485.84</v>
      </c>
      <c r="C136" s="24">
        <v>0</v>
      </c>
      <c r="D136" s="24">
        <v>485.84</v>
      </c>
      <c r="E136" s="24">
        <v>485.84</v>
      </c>
      <c r="F136" s="24">
        <v>0</v>
      </c>
      <c r="G136" s="57">
        <f t="shared" si="14"/>
        <v>485.84</v>
      </c>
      <c r="H136" s="55">
        <v>485.84</v>
      </c>
      <c r="I136" s="22" t="s">
        <v>400</v>
      </c>
    </row>
    <row r="137" spans="1:10" x14ac:dyDescent="0.25">
      <c r="A137" s="23">
        <v>19781</v>
      </c>
      <c r="B137" s="24">
        <v>363.2</v>
      </c>
      <c r="C137" s="24">
        <v>18.2</v>
      </c>
      <c r="D137" s="24">
        <v>345</v>
      </c>
      <c r="E137" s="24">
        <v>345</v>
      </c>
      <c r="F137" s="24">
        <v>0</v>
      </c>
      <c r="G137" s="57">
        <f t="shared" si="14"/>
        <v>345</v>
      </c>
      <c r="H137" s="55">
        <v>345</v>
      </c>
      <c r="I137" s="22" t="s">
        <v>400</v>
      </c>
    </row>
    <row r="138" spans="1:10" x14ac:dyDescent="0.25">
      <c r="A138" s="23">
        <v>19782</v>
      </c>
      <c r="B138" s="24">
        <v>167.67</v>
      </c>
      <c r="C138" s="24">
        <v>7.67</v>
      </c>
      <c r="D138" s="24">
        <v>160</v>
      </c>
      <c r="E138" s="24">
        <v>160</v>
      </c>
      <c r="F138" s="24">
        <v>0</v>
      </c>
      <c r="G138" s="57">
        <f t="shared" si="14"/>
        <v>160</v>
      </c>
      <c r="H138" s="55">
        <v>160</v>
      </c>
      <c r="I138" s="22" t="s">
        <v>400</v>
      </c>
    </row>
    <row r="139" spans="1:10" x14ac:dyDescent="0.25">
      <c r="A139" s="23">
        <v>19783</v>
      </c>
      <c r="B139" s="24">
        <v>274.64</v>
      </c>
      <c r="C139" s="24">
        <v>12.64</v>
      </c>
      <c r="D139" s="24">
        <v>262</v>
      </c>
      <c r="E139" s="24">
        <v>262</v>
      </c>
      <c r="F139" s="24">
        <v>0</v>
      </c>
      <c r="G139" s="57">
        <f t="shared" si="14"/>
        <v>262</v>
      </c>
      <c r="H139" s="55">
        <v>272</v>
      </c>
      <c r="I139" s="22" t="str">
        <f>IF(G139=H139,"ok","erro")</f>
        <v>erro</v>
      </c>
      <c r="J139" s="25" t="s">
        <v>410</v>
      </c>
    </row>
    <row r="140" spans="1:10" x14ac:dyDescent="0.25">
      <c r="A140" s="23">
        <v>19784</v>
      </c>
      <c r="B140" s="24">
        <v>144.4</v>
      </c>
      <c r="C140" s="24">
        <v>4.4000000000000004</v>
      </c>
      <c r="D140" s="24">
        <v>140</v>
      </c>
      <c r="E140" s="24">
        <v>140</v>
      </c>
      <c r="F140" s="24">
        <v>0</v>
      </c>
      <c r="G140" s="57">
        <f t="shared" si="14"/>
        <v>140</v>
      </c>
      <c r="H140" s="55">
        <v>140</v>
      </c>
      <c r="I140" s="22" t="s">
        <v>400</v>
      </c>
    </row>
    <row r="141" spans="1:10" x14ac:dyDescent="0.25">
      <c r="A141" s="23">
        <v>19785</v>
      </c>
      <c r="B141" s="24">
        <v>218.07</v>
      </c>
      <c r="C141" s="24">
        <v>11.07</v>
      </c>
      <c r="D141" s="24">
        <v>207</v>
      </c>
      <c r="E141" s="24">
        <v>207</v>
      </c>
      <c r="F141" s="24">
        <v>0</v>
      </c>
      <c r="G141" s="57">
        <f t="shared" si="14"/>
        <v>207</v>
      </c>
      <c r="H141" s="55">
        <v>207</v>
      </c>
      <c r="I141" s="22" t="s">
        <v>400</v>
      </c>
    </row>
    <row r="142" spans="1:10" x14ac:dyDescent="0.25">
      <c r="A142" s="23">
        <v>19786</v>
      </c>
      <c r="B142" s="24">
        <v>29.9</v>
      </c>
      <c r="C142" s="24">
        <v>1.4</v>
      </c>
      <c r="D142" s="24">
        <v>28.5</v>
      </c>
      <c r="E142" s="24">
        <v>28.5</v>
      </c>
      <c r="F142" s="24">
        <v>0</v>
      </c>
      <c r="G142" s="57">
        <f t="shared" si="14"/>
        <v>28.5</v>
      </c>
      <c r="H142" s="55">
        <v>28.5</v>
      </c>
      <c r="I142" s="22" t="s">
        <v>400</v>
      </c>
    </row>
    <row r="143" spans="1:10" x14ac:dyDescent="0.25">
      <c r="A143" s="23">
        <v>19787</v>
      </c>
      <c r="B143" s="24">
        <v>1194.72</v>
      </c>
      <c r="C143" s="24">
        <v>15.8</v>
      </c>
      <c r="D143" s="24">
        <v>1178.92</v>
      </c>
      <c r="E143" s="24">
        <v>1178.92</v>
      </c>
      <c r="F143" s="24">
        <v>0</v>
      </c>
      <c r="G143" s="57">
        <f t="shared" si="14"/>
        <v>1178.92</v>
      </c>
      <c r="H143" s="55">
        <v>1178.92</v>
      </c>
      <c r="I143" s="22" t="s">
        <v>400</v>
      </c>
    </row>
    <row r="144" spans="1:10" x14ac:dyDescent="0.25">
      <c r="A144" s="23">
        <v>19788</v>
      </c>
      <c r="B144" s="24">
        <v>95.78</v>
      </c>
      <c r="C144" s="24">
        <v>0</v>
      </c>
      <c r="D144" s="24">
        <v>95.78</v>
      </c>
      <c r="E144" s="24">
        <v>95.78</v>
      </c>
      <c r="F144" s="24">
        <v>0</v>
      </c>
      <c r="G144" s="57">
        <f t="shared" si="14"/>
        <v>95.78</v>
      </c>
      <c r="H144" s="55">
        <v>95.78</v>
      </c>
      <c r="I144" s="22" t="s">
        <v>400</v>
      </c>
    </row>
    <row r="145" spans="1:10" x14ac:dyDescent="0.25">
      <c r="A145" s="23">
        <v>19789</v>
      </c>
      <c r="B145" s="24">
        <v>389</v>
      </c>
      <c r="C145" s="24">
        <v>11</v>
      </c>
      <c r="D145" s="24">
        <v>378</v>
      </c>
      <c r="E145" s="24">
        <v>378</v>
      </c>
      <c r="F145" s="24">
        <v>0</v>
      </c>
      <c r="G145" s="57">
        <f t="shared" si="14"/>
        <v>378</v>
      </c>
      <c r="H145" s="55">
        <v>378</v>
      </c>
      <c r="I145" s="22" t="s">
        <v>400</v>
      </c>
    </row>
    <row r="146" spans="1:10" x14ac:dyDescent="0.25">
      <c r="A146" s="23">
        <v>19790</v>
      </c>
      <c r="B146" s="24">
        <v>653.70000000000005</v>
      </c>
      <c r="C146" s="24">
        <v>23.7</v>
      </c>
      <c r="D146" s="24">
        <v>630</v>
      </c>
      <c r="E146" s="24">
        <v>630</v>
      </c>
      <c r="F146" s="24">
        <v>0</v>
      </c>
      <c r="G146" s="57">
        <f t="shared" si="14"/>
        <v>630</v>
      </c>
      <c r="H146" s="55">
        <v>630</v>
      </c>
      <c r="I146" s="22" t="s">
        <v>400</v>
      </c>
    </row>
    <row r="147" spans="1:10" x14ac:dyDescent="0.25">
      <c r="A147" s="23">
        <v>19791</v>
      </c>
      <c r="B147" s="24">
        <v>541.34</v>
      </c>
      <c r="C147" s="24">
        <v>0</v>
      </c>
      <c r="D147" s="24">
        <v>541.34</v>
      </c>
      <c r="E147" s="24">
        <v>541.34</v>
      </c>
      <c r="F147" s="24">
        <v>0</v>
      </c>
      <c r="G147" s="57">
        <f t="shared" si="14"/>
        <v>541.34</v>
      </c>
      <c r="H147" s="55">
        <v>541.34</v>
      </c>
      <c r="I147" s="22" t="s">
        <v>400</v>
      </c>
    </row>
    <row r="148" spans="1:10" x14ac:dyDescent="0.25">
      <c r="A148" s="23">
        <v>19792</v>
      </c>
      <c r="B148" s="24">
        <v>191.56</v>
      </c>
      <c r="C148" s="24">
        <v>0</v>
      </c>
      <c r="D148" s="24">
        <v>191.56</v>
      </c>
      <c r="E148" s="24">
        <v>191.56</v>
      </c>
      <c r="F148" s="24">
        <v>0</v>
      </c>
      <c r="G148" s="57">
        <f t="shared" si="14"/>
        <v>191.56</v>
      </c>
      <c r="H148" s="55">
        <v>191.56</v>
      </c>
      <c r="I148" s="22" t="s">
        <v>400</v>
      </c>
    </row>
    <row r="149" spans="1:10" x14ac:dyDescent="0.25">
      <c r="A149" s="23">
        <v>19793</v>
      </c>
      <c r="B149" s="24">
        <v>58.94</v>
      </c>
      <c r="C149" s="24">
        <v>2.94</v>
      </c>
      <c r="D149" s="24">
        <v>56</v>
      </c>
      <c r="E149" s="24">
        <v>56</v>
      </c>
      <c r="F149" s="24">
        <v>0</v>
      </c>
      <c r="G149" s="57">
        <f t="shared" si="14"/>
        <v>56</v>
      </c>
      <c r="H149" s="55">
        <v>56</v>
      </c>
      <c r="I149" s="22" t="s">
        <v>400</v>
      </c>
    </row>
    <row r="150" spans="1:10" x14ac:dyDescent="0.25">
      <c r="A150" s="23">
        <v>19794</v>
      </c>
      <c r="B150" s="24">
        <v>211.56</v>
      </c>
      <c r="C150" s="24">
        <v>9.56</v>
      </c>
      <c r="D150" s="24">
        <v>202</v>
      </c>
      <c r="E150" s="24">
        <v>202</v>
      </c>
      <c r="F150" s="24">
        <v>0</v>
      </c>
      <c r="G150" s="57">
        <f t="shared" si="14"/>
        <v>202</v>
      </c>
      <c r="H150" s="55">
        <v>202</v>
      </c>
      <c r="I150" s="22" t="s">
        <v>400</v>
      </c>
    </row>
    <row r="151" spans="1:10" x14ac:dyDescent="0.25">
      <c r="A151" s="23">
        <v>19795</v>
      </c>
      <c r="B151" s="24">
        <v>143.66999999999999</v>
      </c>
      <c r="C151" s="24">
        <v>8.67</v>
      </c>
      <c r="D151" s="24">
        <v>135</v>
      </c>
      <c r="E151" s="24">
        <v>135</v>
      </c>
      <c r="F151" s="24">
        <v>0</v>
      </c>
      <c r="G151" s="57">
        <f t="shared" si="14"/>
        <v>135</v>
      </c>
      <c r="H151" s="55">
        <v>135</v>
      </c>
      <c r="I151" s="22" t="s">
        <v>400</v>
      </c>
    </row>
    <row r="152" spans="1:10" x14ac:dyDescent="0.25">
      <c r="A152" s="23">
        <v>19796</v>
      </c>
      <c r="B152" s="24">
        <v>20</v>
      </c>
      <c r="C152" s="24">
        <v>0</v>
      </c>
      <c r="D152" s="24">
        <v>20</v>
      </c>
      <c r="E152" s="24">
        <v>20</v>
      </c>
      <c r="F152" s="24">
        <v>0</v>
      </c>
      <c r="G152" s="57">
        <f t="shared" si="14"/>
        <v>20</v>
      </c>
      <c r="H152" s="55">
        <v>20</v>
      </c>
      <c r="I152" s="22" t="s">
        <v>400</v>
      </c>
    </row>
    <row r="153" spans="1:10" x14ac:dyDescent="0.25">
      <c r="A153" s="23">
        <v>19797</v>
      </c>
      <c r="B153" s="24">
        <v>545.32000000000005</v>
      </c>
      <c r="C153" s="24">
        <v>25.32</v>
      </c>
      <c r="D153" s="24">
        <v>520</v>
      </c>
      <c r="E153" s="24">
        <v>520</v>
      </c>
      <c r="F153" s="24">
        <v>0</v>
      </c>
      <c r="G153" s="57">
        <f t="shared" si="14"/>
        <v>520</v>
      </c>
      <c r="H153" s="55">
        <v>520</v>
      </c>
      <c r="I153" s="22" t="s">
        <v>400</v>
      </c>
    </row>
    <row r="154" spans="1:10" x14ac:dyDescent="0.25">
      <c r="A154" s="23">
        <v>19798</v>
      </c>
      <c r="B154" s="24">
        <v>294.7</v>
      </c>
      <c r="C154" s="24">
        <v>14.7</v>
      </c>
      <c r="D154" s="24">
        <v>280</v>
      </c>
      <c r="E154" s="24">
        <v>280</v>
      </c>
      <c r="F154" s="24">
        <v>0</v>
      </c>
      <c r="G154" s="57">
        <f t="shared" si="14"/>
        <v>280</v>
      </c>
      <c r="H154" s="55">
        <v>290</v>
      </c>
      <c r="I154" s="22" t="str">
        <f t="shared" ref="I154:I155" si="15">IF(G154=H154,"ok","erro")</f>
        <v>erro</v>
      </c>
      <c r="J154" s="25" t="s">
        <v>410</v>
      </c>
    </row>
    <row r="155" spans="1:10" x14ac:dyDescent="0.25">
      <c r="A155" s="23">
        <v>19800</v>
      </c>
      <c r="B155" s="24">
        <v>353.64</v>
      </c>
      <c r="C155" s="24">
        <v>17.64</v>
      </c>
      <c r="D155" s="24">
        <v>336</v>
      </c>
      <c r="E155" s="24">
        <v>336</v>
      </c>
      <c r="F155" s="24">
        <v>0</v>
      </c>
      <c r="G155" s="57">
        <f t="shared" si="14"/>
        <v>336</v>
      </c>
      <c r="H155" s="55">
        <v>346</v>
      </c>
      <c r="I155" s="22" t="str">
        <f t="shared" si="15"/>
        <v>erro</v>
      </c>
      <c r="J155" s="25" t="s">
        <v>410</v>
      </c>
    </row>
    <row r="156" spans="1:10" x14ac:dyDescent="0.25">
      <c r="A156" s="23">
        <v>19801</v>
      </c>
      <c r="B156" s="24">
        <v>81.08</v>
      </c>
      <c r="C156" s="24">
        <v>0</v>
      </c>
      <c r="D156" s="24">
        <v>81.08</v>
      </c>
      <c r="E156" s="24">
        <v>81.08</v>
      </c>
      <c r="F156" s="24">
        <v>0</v>
      </c>
      <c r="G156" s="57">
        <f t="shared" si="14"/>
        <v>81.08</v>
      </c>
      <c r="H156" s="55">
        <v>81.08</v>
      </c>
      <c r="I156" s="22" t="s">
        <v>400</v>
      </c>
    </row>
    <row r="157" spans="1:10" x14ac:dyDescent="0.25">
      <c r="A157" s="23">
        <v>19803</v>
      </c>
      <c r="B157" s="24">
        <v>143.66999999999999</v>
      </c>
      <c r="C157" s="24">
        <v>7.17</v>
      </c>
      <c r="D157" s="24">
        <v>136.5</v>
      </c>
      <c r="E157" s="24">
        <v>136.5</v>
      </c>
      <c r="F157" s="24">
        <v>0</v>
      </c>
      <c r="G157" s="57">
        <f t="shared" si="14"/>
        <v>136.5</v>
      </c>
      <c r="H157" s="55">
        <v>136.5</v>
      </c>
      <c r="I157" s="22" t="s">
        <v>400</v>
      </c>
    </row>
    <row r="158" spans="1:10" x14ac:dyDescent="0.25">
      <c r="A158" s="23">
        <v>19804</v>
      </c>
      <c r="B158" s="24">
        <v>148.4</v>
      </c>
      <c r="C158" s="24">
        <v>7.22</v>
      </c>
      <c r="D158" s="24">
        <v>141.18</v>
      </c>
      <c r="E158" s="24">
        <v>141.18</v>
      </c>
      <c r="F158" s="24">
        <v>0</v>
      </c>
      <c r="G158" s="57">
        <f t="shared" si="14"/>
        <v>141.18</v>
      </c>
      <c r="H158" s="55">
        <v>141.18</v>
      </c>
      <c r="I158" s="22" t="s">
        <v>400</v>
      </c>
    </row>
    <row r="159" spans="1:10" x14ac:dyDescent="0.25">
      <c r="A159" s="23">
        <v>19805</v>
      </c>
      <c r="B159" s="24">
        <v>2768.46</v>
      </c>
      <c r="C159" s="24">
        <v>0</v>
      </c>
      <c r="D159" s="24">
        <v>2768.46</v>
      </c>
      <c r="E159" s="24">
        <v>2768.46</v>
      </c>
      <c r="F159" s="24">
        <v>0</v>
      </c>
      <c r="G159" s="57">
        <f t="shared" si="14"/>
        <v>2768.46</v>
      </c>
      <c r="H159" s="55">
        <v>2768.46</v>
      </c>
      <c r="I159" s="22" t="s">
        <v>400</v>
      </c>
    </row>
    <row r="160" spans="1:10" x14ac:dyDescent="0.25">
      <c r="A160" s="23">
        <v>19806</v>
      </c>
      <c r="B160" s="24">
        <v>354</v>
      </c>
      <c r="C160" s="24">
        <v>0</v>
      </c>
      <c r="D160" s="24">
        <v>354</v>
      </c>
      <c r="E160" s="24">
        <v>354</v>
      </c>
      <c r="F160" s="24">
        <v>7</v>
      </c>
      <c r="G160" s="57">
        <f t="shared" si="14"/>
        <v>361</v>
      </c>
      <c r="H160" s="55">
        <v>361</v>
      </c>
      <c r="I160" s="22" t="str">
        <f t="shared" ref="I160:I161" si="16">IF(G160=H160,"ok","erro")</f>
        <v>ok</v>
      </c>
      <c r="J160" s="25" t="str">
        <f t="shared" ref="J160:J161" si="17">IF(I160="ok","frete","")</f>
        <v>frete</v>
      </c>
    </row>
    <row r="161" spans="1:10" x14ac:dyDescent="0.25">
      <c r="A161" s="23">
        <v>19807</v>
      </c>
      <c r="B161" s="24">
        <v>176.82</v>
      </c>
      <c r="C161" s="24">
        <v>8.82</v>
      </c>
      <c r="D161" s="24">
        <v>168</v>
      </c>
      <c r="E161" s="24">
        <v>168</v>
      </c>
      <c r="F161" s="24">
        <v>0</v>
      </c>
      <c r="G161" s="57">
        <f t="shared" si="14"/>
        <v>168</v>
      </c>
      <c r="H161" s="55">
        <v>182</v>
      </c>
      <c r="I161" s="22" t="str">
        <f t="shared" si="16"/>
        <v>erro</v>
      </c>
      <c r="J161" s="25" t="s">
        <v>410</v>
      </c>
    </row>
    <row r="162" spans="1:10" x14ac:dyDescent="0.25">
      <c r="A162" s="23">
        <v>19808</v>
      </c>
      <c r="B162" s="24">
        <v>110</v>
      </c>
      <c r="C162" s="24">
        <v>0</v>
      </c>
      <c r="D162" s="24">
        <v>110</v>
      </c>
      <c r="E162" s="24">
        <v>110</v>
      </c>
      <c r="F162" s="24">
        <v>0</v>
      </c>
      <c r="G162" s="57">
        <f t="shared" si="14"/>
        <v>110</v>
      </c>
      <c r="H162" s="55">
        <v>110</v>
      </c>
      <c r="I162" s="22" t="s">
        <v>400</v>
      </c>
    </row>
    <row r="163" spans="1:10" x14ac:dyDescent="0.25">
      <c r="A163" s="23">
        <v>19809</v>
      </c>
      <c r="B163" s="24">
        <v>239.45</v>
      </c>
      <c r="C163" s="24">
        <v>11.95</v>
      </c>
      <c r="D163" s="24">
        <v>227.5</v>
      </c>
      <c r="E163" s="24">
        <v>227.5</v>
      </c>
      <c r="F163" s="24">
        <v>0</v>
      </c>
      <c r="G163" s="57">
        <f t="shared" si="14"/>
        <v>227.5</v>
      </c>
      <c r="H163" s="55">
        <v>227.5</v>
      </c>
      <c r="I163" s="22" t="s">
        <v>400</v>
      </c>
    </row>
    <row r="164" spans="1:10" x14ac:dyDescent="0.25">
      <c r="A164" s="23">
        <v>19810</v>
      </c>
      <c r="B164" s="24">
        <v>103.78</v>
      </c>
      <c r="C164" s="24">
        <v>4.78</v>
      </c>
      <c r="D164" s="24">
        <v>99</v>
      </c>
      <c r="E164" s="24">
        <v>99</v>
      </c>
      <c r="F164" s="24">
        <v>0</v>
      </c>
      <c r="G164" s="57">
        <f t="shared" si="14"/>
        <v>99</v>
      </c>
      <c r="H164" s="55">
        <v>107</v>
      </c>
      <c r="I164" s="22" t="str">
        <f t="shared" ref="I164:I166" si="18">IF(G164=H164,"ok","erro")</f>
        <v>erro</v>
      </c>
      <c r="J164" s="25" t="s">
        <v>407</v>
      </c>
    </row>
    <row r="165" spans="1:10" x14ac:dyDescent="0.25">
      <c r="A165" s="23">
        <v>19811</v>
      </c>
      <c r="B165" s="24">
        <v>126.32</v>
      </c>
      <c r="C165" s="24">
        <v>6.32</v>
      </c>
      <c r="D165" s="24">
        <v>120</v>
      </c>
      <c r="E165" s="24">
        <v>120</v>
      </c>
      <c r="F165" s="24">
        <v>0</v>
      </c>
      <c r="G165" s="57">
        <f t="shared" si="14"/>
        <v>120</v>
      </c>
      <c r="H165" s="55">
        <v>137</v>
      </c>
      <c r="I165" s="22" t="str">
        <f t="shared" si="18"/>
        <v>erro</v>
      </c>
      <c r="J165" s="25" t="s">
        <v>409</v>
      </c>
    </row>
    <row r="166" spans="1:10" x14ac:dyDescent="0.25">
      <c r="A166" s="23">
        <v>19812</v>
      </c>
      <c r="B166" s="24">
        <v>757.92</v>
      </c>
      <c r="C166" s="24">
        <v>37.92</v>
      </c>
      <c r="D166" s="24">
        <v>720</v>
      </c>
      <c r="E166" s="24">
        <v>720</v>
      </c>
      <c r="F166" s="24">
        <v>0</v>
      </c>
      <c r="G166" s="57">
        <f t="shared" si="14"/>
        <v>720</v>
      </c>
      <c r="H166" s="55">
        <v>728</v>
      </c>
      <c r="I166" s="22" t="str">
        <f t="shared" si="18"/>
        <v>erro</v>
      </c>
      <c r="J166" s="25" t="s">
        <v>407</v>
      </c>
    </row>
    <row r="167" spans="1:10" x14ac:dyDescent="0.25">
      <c r="A167" s="23">
        <v>19813</v>
      </c>
      <c r="B167" s="24">
        <v>328.4</v>
      </c>
      <c r="C167" s="24">
        <v>0</v>
      </c>
      <c r="D167" s="24">
        <v>328.4</v>
      </c>
      <c r="E167" s="24">
        <v>328.4</v>
      </c>
      <c r="F167" s="24">
        <v>0</v>
      </c>
      <c r="G167" s="57">
        <f t="shared" si="14"/>
        <v>328.4</v>
      </c>
      <c r="H167" s="55">
        <v>328.4</v>
      </c>
      <c r="I167" s="22" t="s">
        <v>400</v>
      </c>
    </row>
    <row r="168" spans="1:10" x14ac:dyDescent="0.25">
      <c r="A168" s="23">
        <v>19814</v>
      </c>
      <c r="B168" s="24">
        <v>1540</v>
      </c>
      <c r="C168" s="24">
        <v>0</v>
      </c>
      <c r="D168" s="24">
        <v>1540</v>
      </c>
      <c r="E168" s="24">
        <v>1540</v>
      </c>
      <c r="F168" s="24">
        <v>0</v>
      </c>
      <c r="G168" s="57">
        <f t="shared" si="14"/>
        <v>1540</v>
      </c>
      <c r="H168" s="55">
        <v>1540</v>
      </c>
      <c r="I168" s="22" t="s">
        <v>400</v>
      </c>
    </row>
    <row r="169" spans="1:10" x14ac:dyDescent="0.25">
      <c r="A169" s="23">
        <v>19816</v>
      </c>
      <c r="B169" s="24">
        <v>2316</v>
      </c>
      <c r="C169" s="24">
        <v>0</v>
      </c>
      <c r="D169" s="24">
        <v>2316</v>
      </c>
      <c r="E169" s="24">
        <v>2316</v>
      </c>
      <c r="F169" s="24">
        <v>0</v>
      </c>
      <c r="G169" s="57">
        <f t="shared" si="14"/>
        <v>2316</v>
      </c>
      <c r="H169" s="55">
        <v>2316</v>
      </c>
      <c r="I169" s="22" t="s">
        <v>400</v>
      </c>
    </row>
    <row r="170" spans="1:10" x14ac:dyDescent="0.25">
      <c r="A170" s="23">
        <v>19817</v>
      </c>
      <c r="B170" s="24">
        <v>94.41</v>
      </c>
      <c r="C170" s="24">
        <v>3.41</v>
      </c>
      <c r="D170" s="24">
        <v>91</v>
      </c>
      <c r="E170" s="24">
        <v>91</v>
      </c>
      <c r="F170" s="24">
        <v>0</v>
      </c>
      <c r="G170" s="57">
        <f t="shared" si="14"/>
        <v>91</v>
      </c>
      <c r="H170" s="55">
        <v>105</v>
      </c>
      <c r="I170" s="22" t="str">
        <f>IF(G170=H170,"ok","erro")</f>
        <v>erro</v>
      </c>
      <c r="J170" s="25" t="s">
        <v>410</v>
      </c>
    </row>
    <row r="171" spans="1:10" x14ac:dyDescent="0.25">
      <c r="A171" s="23">
        <v>19818</v>
      </c>
      <c r="B171" s="24">
        <v>191.56</v>
      </c>
      <c r="C171" s="24">
        <v>9.56</v>
      </c>
      <c r="D171" s="24">
        <v>182</v>
      </c>
      <c r="E171" s="24">
        <v>182</v>
      </c>
      <c r="F171" s="24">
        <v>0</v>
      </c>
      <c r="G171" s="57">
        <f t="shared" si="14"/>
        <v>182</v>
      </c>
      <c r="H171" s="55">
        <v>182</v>
      </c>
      <c r="I171" s="22" t="s">
        <v>400</v>
      </c>
    </row>
    <row r="172" spans="1:10" x14ac:dyDescent="0.25">
      <c r="A172" s="23">
        <v>19820</v>
      </c>
      <c r="B172" s="24">
        <v>126.32</v>
      </c>
      <c r="C172" s="24">
        <v>6.32</v>
      </c>
      <c r="D172" s="24">
        <v>120</v>
      </c>
      <c r="E172" s="24">
        <v>120</v>
      </c>
      <c r="F172" s="24">
        <v>0</v>
      </c>
      <c r="G172" s="57">
        <f t="shared" si="14"/>
        <v>120</v>
      </c>
      <c r="H172" s="55">
        <v>120</v>
      </c>
      <c r="I172" s="22" t="s">
        <v>400</v>
      </c>
    </row>
    <row r="173" spans="1:10" x14ac:dyDescent="0.25">
      <c r="A173" s="23">
        <v>19821</v>
      </c>
      <c r="B173" s="24">
        <v>287.33999999999997</v>
      </c>
      <c r="C173" s="24">
        <v>14.34</v>
      </c>
      <c r="D173" s="24">
        <v>273</v>
      </c>
      <c r="E173" s="24">
        <v>273</v>
      </c>
      <c r="F173" s="24">
        <v>7</v>
      </c>
      <c r="G173" s="57">
        <f t="shared" si="14"/>
        <v>280</v>
      </c>
      <c r="H173" s="55">
        <v>280</v>
      </c>
      <c r="I173" s="22" t="str">
        <f>IF(G173=H173,"ok","erro")</f>
        <v>ok</v>
      </c>
      <c r="J173" s="25" t="str">
        <f>IF(I173="ok","frete","")</f>
        <v>frete</v>
      </c>
    </row>
    <row r="174" spans="1:10" x14ac:dyDescent="0.25">
      <c r="A174" s="23">
        <v>19822</v>
      </c>
      <c r="B174" s="24">
        <v>651.12</v>
      </c>
      <c r="C174" s="24">
        <v>28.68</v>
      </c>
      <c r="D174" s="24">
        <v>622.44000000000005</v>
      </c>
      <c r="E174" s="24">
        <v>622.44000000000005</v>
      </c>
      <c r="F174" s="24">
        <v>0</v>
      </c>
      <c r="G174" s="57">
        <f t="shared" si="14"/>
        <v>622.44000000000005</v>
      </c>
      <c r="H174" s="55">
        <v>622.44000000000005</v>
      </c>
      <c r="I174" s="22" t="s">
        <v>400</v>
      </c>
    </row>
    <row r="175" spans="1:10" x14ac:dyDescent="0.25">
      <c r="A175" s="23">
        <v>19823</v>
      </c>
      <c r="B175" s="24">
        <v>219.16</v>
      </c>
      <c r="C175" s="24">
        <v>7.16</v>
      </c>
      <c r="D175" s="24">
        <v>212</v>
      </c>
      <c r="E175" s="24">
        <v>212</v>
      </c>
      <c r="F175" s="24">
        <v>0</v>
      </c>
      <c r="G175" s="57">
        <f t="shared" si="14"/>
        <v>212</v>
      </c>
      <c r="H175" s="55">
        <v>222</v>
      </c>
      <c r="I175" s="22" t="str">
        <f>IF(G175=H175,"ok","erro")</f>
        <v>erro</v>
      </c>
      <c r="J175" s="25" t="s">
        <v>410</v>
      </c>
    </row>
    <row r="176" spans="1:10" x14ac:dyDescent="0.25">
      <c r="A176" s="23">
        <v>19824</v>
      </c>
      <c r="B176" s="24">
        <v>13360.95</v>
      </c>
      <c r="C176" s="24">
        <v>4.05</v>
      </c>
      <c r="D176" s="24">
        <v>13356.9</v>
      </c>
      <c r="E176" s="24">
        <v>13356.9</v>
      </c>
      <c r="F176" s="24">
        <v>0</v>
      </c>
      <c r="G176" s="57">
        <f t="shared" si="14"/>
        <v>13356.9</v>
      </c>
      <c r="H176" s="55">
        <v>13356.9</v>
      </c>
      <c r="I176" s="22" t="s">
        <v>400</v>
      </c>
    </row>
    <row r="177" spans="1:10" x14ac:dyDescent="0.25">
      <c r="A177" s="23">
        <v>19826</v>
      </c>
      <c r="B177" s="24">
        <v>108.7</v>
      </c>
      <c r="C177" s="24">
        <v>0</v>
      </c>
      <c r="D177" s="24">
        <v>108.7</v>
      </c>
      <c r="E177" s="24">
        <v>108.7</v>
      </c>
      <c r="F177" s="24">
        <v>0</v>
      </c>
      <c r="G177" s="57">
        <f t="shared" si="14"/>
        <v>108.7</v>
      </c>
      <c r="H177" s="55">
        <v>108.7</v>
      </c>
      <c r="I177" s="22" t="s">
        <v>400</v>
      </c>
    </row>
    <row r="178" spans="1:10" x14ac:dyDescent="0.25">
      <c r="A178" s="23">
        <v>19827</v>
      </c>
      <c r="B178" s="24">
        <v>567.52</v>
      </c>
      <c r="C178" s="24">
        <v>0</v>
      </c>
      <c r="D178" s="24">
        <v>567.52</v>
      </c>
      <c r="E178" s="24">
        <v>567.52</v>
      </c>
      <c r="F178" s="24">
        <v>0</v>
      </c>
      <c r="G178" s="57">
        <f t="shared" si="14"/>
        <v>567.52</v>
      </c>
      <c r="H178" s="55">
        <v>575.52</v>
      </c>
      <c r="I178" s="22" t="str">
        <f>IF(G178=H178,"ok","erro")</f>
        <v>erro</v>
      </c>
      <c r="J178" s="25" t="s">
        <v>410</v>
      </c>
    </row>
    <row r="179" spans="1:10" x14ac:dyDescent="0.25">
      <c r="A179" s="23">
        <v>19828</v>
      </c>
      <c r="B179" s="24">
        <v>82.1</v>
      </c>
      <c r="C179" s="24">
        <v>0</v>
      </c>
      <c r="D179" s="24">
        <v>82.1</v>
      </c>
      <c r="E179" s="24">
        <v>82.1</v>
      </c>
      <c r="F179" s="24">
        <v>0</v>
      </c>
      <c r="G179" s="57">
        <f t="shared" si="14"/>
        <v>82.1</v>
      </c>
      <c r="H179" s="55">
        <v>82.1</v>
      </c>
      <c r="I179" s="22" t="s">
        <v>400</v>
      </c>
    </row>
    <row r="180" spans="1:10" x14ac:dyDescent="0.25">
      <c r="A180" s="23">
        <v>19829</v>
      </c>
      <c r="B180" s="24">
        <v>417.58</v>
      </c>
      <c r="C180" s="24">
        <v>0</v>
      </c>
      <c r="D180" s="24">
        <v>417.58</v>
      </c>
      <c r="E180" s="24">
        <v>417.58</v>
      </c>
      <c r="F180" s="24">
        <v>30</v>
      </c>
      <c r="G180" s="57">
        <f t="shared" si="14"/>
        <v>447.58</v>
      </c>
      <c r="H180" s="55">
        <v>447.58</v>
      </c>
      <c r="I180" s="22" t="str">
        <f t="shared" ref="I180:I181" si="19">IF(G180=H180,"ok","erro")</f>
        <v>ok</v>
      </c>
      <c r="J180" s="25" t="str">
        <f t="shared" ref="J180:J181" si="20">IF(I180="ok","frete","")</f>
        <v>frete</v>
      </c>
    </row>
    <row r="181" spans="1:10" x14ac:dyDescent="0.25">
      <c r="A181" s="23">
        <v>19830</v>
      </c>
      <c r="B181" s="24">
        <v>718.35</v>
      </c>
      <c r="C181" s="24">
        <v>35.85</v>
      </c>
      <c r="D181" s="24">
        <v>682.5</v>
      </c>
      <c r="E181" s="24">
        <v>682.5</v>
      </c>
      <c r="F181" s="24">
        <v>0</v>
      </c>
      <c r="G181" s="57">
        <f t="shared" si="14"/>
        <v>682.5</v>
      </c>
      <c r="H181" s="55">
        <v>692.5</v>
      </c>
      <c r="I181" s="22" t="str">
        <f t="shared" si="19"/>
        <v>erro</v>
      </c>
      <c r="J181" s="25" t="s">
        <v>410</v>
      </c>
    </row>
    <row r="182" spans="1:10" x14ac:dyDescent="0.25">
      <c r="A182" s="23">
        <v>19834</v>
      </c>
      <c r="B182" s="24">
        <v>780</v>
      </c>
      <c r="C182" s="24">
        <v>0</v>
      </c>
      <c r="D182" s="24">
        <v>780</v>
      </c>
      <c r="E182" s="24">
        <v>780</v>
      </c>
      <c r="F182" s="24">
        <v>0</v>
      </c>
      <c r="G182" s="57">
        <f t="shared" si="14"/>
        <v>780</v>
      </c>
      <c r="H182" s="55">
        <v>780</v>
      </c>
      <c r="I182" s="22" t="s">
        <v>400</v>
      </c>
    </row>
    <row r="183" spans="1:10" x14ac:dyDescent="0.25">
      <c r="A183" s="23">
        <v>19835</v>
      </c>
      <c r="B183" s="24">
        <v>1304.4000000000001</v>
      </c>
      <c r="C183" s="24">
        <v>128.4</v>
      </c>
      <c r="D183" s="24">
        <v>1176</v>
      </c>
      <c r="E183" s="24">
        <v>1176</v>
      </c>
      <c r="F183" s="24">
        <v>0</v>
      </c>
      <c r="G183" s="57">
        <f t="shared" si="14"/>
        <v>1176</v>
      </c>
      <c r="H183" s="55">
        <v>1176</v>
      </c>
      <c r="I183" s="22" t="s">
        <v>400</v>
      </c>
    </row>
    <row r="184" spans="1:10" x14ac:dyDescent="0.25">
      <c r="A184" s="23">
        <v>19836</v>
      </c>
      <c r="B184" s="24">
        <v>3222.5</v>
      </c>
      <c r="C184" s="24">
        <v>284.64999999999998</v>
      </c>
      <c r="D184" s="24">
        <v>2937.85</v>
      </c>
      <c r="E184" s="24">
        <v>2937.85</v>
      </c>
      <c r="F184" s="24">
        <v>0</v>
      </c>
      <c r="G184" s="57">
        <f t="shared" si="14"/>
        <v>2937.85</v>
      </c>
      <c r="H184" s="55">
        <v>2937.85</v>
      </c>
      <c r="I184" s="22" t="s">
        <v>400</v>
      </c>
    </row>
    <row r="185" spans="1:10" x14ac:dyDescent="0.25">
      <c r="A185" s="23">
        <v>19837</v>
      </c>
      <c r="B185" s="24">
        <v>335.23</v>
      </c>
      <c r="C185" s="24">
        <v>16.73</v>
      </c>
      <c r="D185" s="24">
        <v>318.5</v>
      </c>
      <c r="E185" s="24">
        <v>318.5</v>
      </c>
      <c r="F185" s="24">
        <v>0</v>
      </c>
      <c r="G185" s="57">
        <f t="shared" si="14"/>
        <v>318.5</v>
      </c>
      <c r="H185" s="55">
        <v>330.5</v>
      </c>
      <c r="I185" s="22" t="str">
        <f t="shared" ref="I185:I187" si="21">IF(G185=H185,"ok","erro")</f>
        <v>erro</v>
      </c>
      <c r="J185" s="25" t="s">
        <v>410</v>
      </c>
    </row>
    <row r="186" spans="1:10" x14ac:dyDescent="0.25">
      <c r="A186" s="23">
        <v>19838</v>
      </c>
      <c r="B186" s="24">
        <v>94.74</v>
      </c>
      <c r="C186" s="24">
        <v>4.74</v>
      </c>
      <c r="D186" s="24">
        <v>90</v>
      </c>
      <c r="E186" s="24">
        <v>90</v>
      </c>
      <c r="F186" s="24">
        <v>0</v>
      </c>
      <c r="G186" s="57">
        <f t="shared" si="14"/>
        <v>90</v>
      </c>
      <c r="H186" s="55">
        <v>100</v>
      </c>
      <c r="I186" s="22" t="str">
        <f t="shared" si="21"/>
        <v>erro</v>
      </c>
      <c r="J186" s="25" t="s">
        <v>410</v>
      </c>
    </row>
    <row r="187" spans="1:10" x14ac:dyDescent="0.25">
      <c r="A187" s="23">
        <v>19839</v>
      </c>
      <c r="B187" s="24">
        <v>221.92</v>
      </c>
      <c r="C187" s="24">
        <v>10.92</v>
      </c>
      <c r="D187" s="24">
        <v>211</v>
      </c>
      <c r="E187" s="24">
        <v>211</v>
      </c>
      <c r="F187" s="24">
        <v>0</v>
      </c>
      <c r="G187" s="57">
        <f t="shared" si="14"/>
        <v>211</v>
      </c>
      <c r="H187" s="55">
        <v>222</v>
      </c>
      <c r="I187" s="22" t="str">
        <f t="shared" si="21"/>
        <v>erro</v>
      </c>
      <c r="J187" s="25" t="s">
        <v>410</v>
      </c>
    </row>
    <row r="188" spans="1:10" x14ac:dyDescent="0.25">
      <c r="A188" s="23">
        <v>19840</v>
      </c>
      <c r="B188" s="24">
        <v>126.33</v>
      </c>
      <c r="C188" s="24">
        <v>6.33</v>
      </c>
      <c r="D188" s="24">
        <v>120</v>
      </c>
      <c r="E188" s="24">
        <v>120</v>
      </c>
      <c r="F188" s="24">
        <v>0</v>
      </c>
      <c r="G188" s="57">
        <f t="shared" si="14"/>
        <v>120</v>
      </c>
      <c r="H188" s="55">
        <v>120</v>
      </c>
      <c r="I188" s="22" t="s">
        <v>400</v>
      </c>
    </row>
    <row r="189" spans="1:10" x14ac:dyDescent="0.25">
      <c r="A189" s="23">
        <v>19841</v>
      </c>
      <c r="B189" s="24">
        <v>2298.7199999999998</v>
      </c>
      <c r="C189" s="24">
        <v>0</v>
      </c>
      <c r="D189" s="24">
        <v>2298.7199999999998</v>
      </c>
      <c r="E189" s="24">
        <v>2298.7199999999998</v>
      </c>
      <c r="F189" s="24">
        <v>0</v>
      </c>
      <c r="G189" s="57">
        <f t="shared" si="14"/>
        <v>2298.7199999999998</v>
      </c>
      <c r="H189" s="55">
        <v>2298.7199999999998</v>
      </c>
      <c r="I189" s="22" t="s">
        <v>400</v>
      </c>
    </row>
    <row r="190" spans="1:10" x14ac:dyDescent="0.25">
      <c r="A190" s="23">
        <v>19842</v>
      </c>
      <c r="B190" s="24">
        <v>370.52</v>
      </c>
      <c r="C190" s="24">
        <v>18.52</v>
      </c>
      <c r="D190" s="24">
        <v>352</v>
      </c>
      <c r="E190" s="24">
        <v>352</v>
      </c>
      <c r="F190" s="24">
        <v>0</v>
      </c>
      <c r="G190" s="57">
        <f t="shared" si="14"/>
        <v>352</v>
      </c>
      <c r="H190" s="55">
        <v>352</v>
      </c>
      <c r="I190" s="22" t="s">
        <v>400</v>
      </c>
    </row>
    <row r="191" spans="1:10" x14ac:dyDescent="0.25">
      <c r="A191" s="23">
        <v>19843</v>
      </c>
      <c r="B191" s="24">
        <v>277</v>
      </c>
      <c r="C191" s="24">
        <v>0</v>
      </c>
      <c r="D191" s="24">
        <v>277</v>
      </c>
      <c r="E191" s="24">
        <v>277</v>
      </c>
      <c r="F191" s="24">
        <v>0</v>
      </c>
      <c r="G191" s="57">
        <f t="shared" si="14"/>
        <v>277</v>
      </c>
      <c r="H191" s="55">
        <v>277</v>
      </c>
      <c r="I191" s="22" t="s">
        <v>400</v>
      </c>
    </row>
    <row r="192" spans="1:10" x14ac:dyDescent="0.25">
      <c r="A192" s="23">
        <v>19844</v>
      </c>
      <c r="B192" s="24">
        <v>239.45</v>
      </c>
      <c r="C192" s="24">
        <v>11.95</v>
      </c>
      <c r="D192" s="24">
        <v>227.5</v>
      </c>
      <c r="E192" s="24">
        <v>227.5</v>
      </c>
      <c r="F192" s="24">
        <v>0</v>
      </c>
      <c r="G192" s="57">
        <f t="shared" si="14"/>
        <v>227.5</v>
      </c>
      <c r="H192" s="55">
        <v>227.5</v>
      </c>
      <c r="I192" s="22" t="s">
        <v>400</v>
      </c>
    </row>
    <row r="193" spans="1:10" x14ac:dyDescent="0.25">
      <c r="A193" s="23">
        <v>19845</v>
      </c>
      <c r="B193" s="24">
        <v>594.67999999999995</v>
      </c>
      <c r="C193" s="24">
        <v>0</v>
      </c>
      <c r="D193" s="24">
        <v>594.67999999999995</v>
      </c>
      <c r="E193" s="24">
        <v>594.67999999999995</v>
      </c>
      <c r="F193" s="24">
        <v>0</v>
      </c>
      <c r="G193" s="57">
        <f t="shared" si="14"/>
        <v>594.67999999999995</v>
      </c>
      <c r="H193" s="55">
        <v>606.67999999999995</v>
      </c>
      <c r="I193" s="22" t="str">
        <f>IF(G193=H193,"ok","erro")</f>
        <v>erro</v>
      </c>
      <c r="J193" s="25" t="s">
        <v>410</v>
      </c>
    </row>
    <row r="194" spans="1:10" x14ac:dyDescent="0.25">
      <c r="A194" s="23">
        <v>19847</v>
      </c>
      <c r="B194" s="24">
        <v>21.1</v>
      </c>
      <c r="C194" s="24">
        <v>1.1000000000000001</v>
      </c>
      <c r="D194" s="24">
        <v>20</v>
      </c>
      <c r="E194" s="24">
        <v>20</v>
      </c>
      <c r="F194" s="24">
        <v>0</v>
      </c>
      <c r="G194" s="57">
        <f t="shared" ref="G194:G252" si="22">E194+F194</f>
        <v>20</v>
      </c>
      <c r="H194" s="55">
        <v>20</v>
      </c>
      <c r="I194" s="22" t="s">
        <v>400</v>
      </c>
    </row>
    <row r="195" spans="1:10" x14ac:dyDescent="0.25">
      <c r="A195" s="23">
        <v>19848</v>
      </c>
      <c r="B195" s="24">
        <v>435.84</v>
      </c>
      <c r="C195" s="24">
        <v>0</v>
      </c>
      <c r="D195" s="24">
        <v>435.84</v>
      </c>
      <c r="E195" s="24">
        <v>435.84</v>
      </c>
      <c r="F195" s="24">
        <v>0</v>
      </c>
      <c r="G195" s="57">
        <f t="shared" si="22"/>
        <v>435.84</v>
      </c>
      <c r="H195" s="55">
        <v>435.84</v>
      </c>
      <c r="I195" s="22" t="s">
        <v>400</v>
      </c>
    </row>
    <row r="196" spans="1:10" x14ac:dyDescent="0.25">
      <c r="A196" s="23">
        <v>19849</v>
      </c>
      <c r="B196" s="24">
        <v>353.64</v>
      </c>
      <c r="C196" s="24">
        <v>11.64</v>
      </c>
      <c r="D196" s="24">
        <v>342</v>
      </c>
      <c r="E196" s="24">
        <v>342</v>
      </c>
      <c r="F196" s="24">
        <v>0</v>
      </c>
      <c r="G196" s="57">
        <f t="shared" si="22"/>
        <v>342</v>
      </c>
      <c r="H196" s="55">
        <v>349</v>
      </c>
      <c r="I196" s="22" t="str">
        <f t="shared" ref="I196:I199" si="23">IF(G196=H196,"ok","erro")</f>
        <v>erro</v>
      </c>
      <c r="J196" s="25" t="s">
        <v>410</v>
      </c>
    </row>
    <row r="197" spans="1:10" x14ac:dyDescent="0.25">
      <c r="A197" s="23">
        <v>19850</v>
      </c>
      <c r="B197" s="24">
        <v>435.84</v>
      </c>
      <c r="C197" s="24">
        <v>0</v>
      </c>
      <c r="D197" s="24">
        <v>435.84</v>
      </c>
      <c r="E197" s="24">
        <v>435.84</v>
      </c>
      <c r="F197" s="24">
        <v>0</v>
      </c>
      <c r="G197" s="57">
        <f t="shared" si="22"/>
        <v>435.84</v>
      </c>
      <c r="H197" s="55">
        <v>445.84</v>
      </c>
      <c r="I197" s="22" t="str">
        <f t="shared" si="23"/>
        <v>erro</v>
      </c>
      <c r="J197" s="25" t="s">
        <v>410</v>
      </c>
    </row>
    <row r="198" spans="1:10" x14ac:dyDescent="0.25">
      <c r="A198" s="23">
        <v>19851</v>
      </c>
      <c r="B198" s="24">
        <v>606.36</v>
      </c>
      <c r="C198" s="24">
        <v>30.36</v>
      </c>
      <c r="D198" s="24">
        <v>576</v>
      </c>
      <c r="E198" s="24">
        <v>576</v>
      </c>
      <c r="F198" s="24">
        <v>0</v>
      </c>
      <c r="G198" s="57">
        <f t="shared" si="22"/>
        <v>576</v>
      </c>
      <c r="H198" s="55">
        <v>584</v>
      </c>
      <c r="I198" s="22" t="str">
        <f t="shared" si="23"/>
        <v>erro</v>
      </c>
      <c r="J198" s="25" t="s">
        <v>410</v>
      </c>
    </row>
    <row r="199" spans="1:10" x14ac:dyDescent="0.25">
      <c r="A199" s="23">
        <v>19852</v>
      </c>
      <c r="B199" s="24">
        <v>574.67999999999995</v>
      </c>
      <c r="C199" s="24">
        <v>28.68</v>
      </c>
      <c r="D199" s="24">
        <v>546</v>
      </c>
      <c r="E199" s="24">
        <v>546</v>
      </c>
      <c r="F199" s="24">
        <v>0</v>
      </c>
      <c r="G199" s="57">
        <f t="shared" si="22"/>
        <v>546</v>
      </c>
      <c r="H199" s="55">
        <v>559</v>
      </c>
      <c r="I199" s="22" t="str">
        <f t="shared" si="23"/>
        <v>erro</v>
      </c>
      <c r="J199" s="25" t="s">
        <v>410</v>
      </c>
    </row>
    <row r="200" spans="1:10" x14ac:dyDescent="0.25">
      <c r="A200" s="23">
        <v>19854</v>
      </c>
      <c r="B200" s="24">
        <v>110.9</v>
      </c>
      <c r="C200" s="24">
        <v>4.9000000000000004</v>
      </c>
      <c r="D200" s="24">
        <v>106</v>
      </c>
      <c r="E200" s="24">
        <v>106</v>
      </c>
      <c r="F200" s="24">
        <v>0</v>
      </c>
      <c r="G200" s="57">
        <f t="shared" si="22"/>
        <v>106</v>
      </c>
      <c r="H200" s="55">
        <v>106</v>
      </c>
      <c r="I200" s="22" t="s">
        <v>400</v>
      </c>
    </row>
    <row r="201" spans="1:10" x14ac:dyDescent="0.25">
      <c r="A201" s="23">
        <v>19857</v>
      </c>
      <c r="B201" s="24">
        <v>3000</v>
      </c>
      <c r="C201" s="24">
        <v>100</v>
      </c>
      <c r="D201" s="24">
        <v>2900</v>
      </c>
      <c r="E201" s="24">
        <v>2900</v>
      </c>
      <c r="F201" s="24">
        <v>0</v>
      </c>
      <c r="G201" s="57">
        <f t="shared" si="22"/>
        <v>2900</v>
      </c>
      <c r="H201" s="55">
        <v>2900</v>
      </c>
      <c r="I201" s="22" t="s">
        <v>400</v>
      </c>
    </row>
    <row r="202" spans="1:10" x14ac:dyDescent="0.25">
      <c r="A202" s="23">
        <v>19858</v>
      </c>
      <c r="B202" s="24">
        <v>50</v>
      </c>
      <c r="C202" s="24">
        <v>0</v>
      </c>
      <c r="D202" s="24">
        <v>50</v>
      </c>
      <c r="E202" s="24">
        <v>50</v>
      </c>
      <c r="F202" s="24">
        <v>0</v>
      </c>
      <c r="G202" s="57">
        <f t="shared" si="22"/>
        <v>50</v>
      </c>
      <c r="H202" s="55">
        <v>50</v>
      </c>
      <c r="I202" s="22" t="s">
        <v>400</v>
      </c>
    </row>
    <row r="203" spans="1:10" x14ac:dyDescent="0.25">
      <c r="A203" s="23">
        <v>19859</v>
      </c>
      <c r="B203" s="24">
        <v>1187.4000000000001</v>
      </c>
      <c r="C203" s="24">
        <v>0</v>
      </c>
      <c r="D203" s="24">
        <v>1187.4000000000001</v>
      </c>
      <c r="E203" s="24">
        <v>1187.4000000000001</v>
      </c>
      <c r="F203" s="24">
        <v>0</v>
      </c>
      <c r="G203" s="57">
        <f t="shared" si="22"/>
        <v>1187.4000000000001</v>
      </c>
      <c r="H203" s="55">
        <v>1187.4000000000001</v>
      </c>
      <c r="I203" s="22" t="s">
        <v>400</v>
      </c>
    </row>
    <row r="204" spans="1:10" x14ac:dyDescent="0.25">
      <c r="A204" s="23">
        <v>19860</v>
      </c>
      <c r="B204" s="24">
        <v>631.65</v>
      </c>
      <c r="C204" s="24">
        <v>0</v>
      </c>
      <c r="D204" s="24">
        <v>631.65</v>
      </c>
      <c r="E204" s="24">
        <v>631.65</v>
      </c>
      <c r="F204" s="24">
        <v>0</v>
      </c>
      <c r="G204" s="57">
        <f t="shared" si="22"/>
        <v>631.65</v>
      </c>
      <c r="H204" s="55">
        <v>648.65</v>
      </c>
      <c r="I204" s="22" t="str">
        <f>IF(G204=H204,"ok","erro")</f>
        <v>erro</v>
      </c>
      <c r="J204" s="25" t="s">
        <v>410</v>
      </c>
    </row>
    <row r="205" spans="1:10" x14ac:dyDescent="0.25">
      <c r="A205" s="23">
        <v>19861</v>
      </c>
      <c r="B205" s="24">
        <v>189.48</v>
      </c>
      <c r="C205" s="24">
        <v>9.48</v>
      </c>
      <c r="D205" s="24">
        <v>180</v>
      </c>
      <c r="E205" s="24">
        <v>180</v>
      </c>
      <c r="F205" s="24">
        <v>0</v>
      </c>
      <c r="G205" s="57">
        <f t="shared" si="22"/>
        <v>180</v>
      </c>
      <c r="H205" s="55">
        <v>180</v>
      </c>
      <c r="I205" s="22" t="s">
        <v>400</v>
      </c>
    </row>
    <row r="206" spans="1:10" x14ac:dyDescent="0.25">
      <c r="A206" s="23">
        <v>19862</v>
      </c>
      <c r="B206" s="24">
        <v>88.41</v>
      </c>
      <c r="C206" s="24">
        <v>4.41</v>
      </c>
      <c r="D206" s="24">
        <v>84</v>
      </c>
      <c r="E206" s="24">
        <v>84</v>
      </c>
      <c r="F206" s="24">
        <v>0</v>
      </c>
      <c r="G206" s="57">
        <f t="shared" si="22"/>
        <v>84</v>
      </c>
      <c r="H206" s="55">
        <v>100</v>
      </c>
      <c r="I206" s="22" t="str">
        <f t="shared" ref="I206:I207" si="24">IF(G206=H206,"ok","erro")</f>
        <v>erro</v>
      </c>
      <c r="J206" s="25" t="s">
        <v>410</v>
      </c>
    </row>
    <row r="207" spans="1:10" x14ac:dyDescent="0.25">
      <c r="A207" s="23">
        <v>19863</v>
      </c>
      <c r="B207" s="24">
        <v>110.9</v>
      </c>
      <c r="C207" s="24">
        <v>4.9000000000000004</v>
      </c>
      <c r="D207" s="24">
        <v>106</v>
      </c>
      <c r="E207" s="24">
        <v>106</v>
      </c>
      <c r="F207" s="24">
        <v>0</v>
      </c>
      <c r="G207" s="57">
        <f t="shared" si="22"/>
        <v>106</v>
      </c>
      <c r="H207" s="55">
        <v>115</v>
      </c>
      <c r="I207" s="22" t="str">
        <f t="shared" si="24"/>
        <v>erro</v>
      </c>
      <c r="J207" s="25" t="s">
        <v>410</v>
      </c>
    </row>
    <row r="208" spans="1:10" x14ac:dyDescent="0.25">
      <c r="A208" s="23">
        <v>19864</v>
      </c>
      <c r="B208" s="24">
        <v>378.96</v>
      </c>
      <c r="C208" s="24">
        <v>0</v>
      </c>
      <c r="D208" s="24">
        <v>378.96</v>
      </c>
      <c r="E208" s="24">
        <v>378.96</v>
      </c>
      <c r="F208" s="24">
        <v>0</v>
      </c>
      <c r="G208" s="57">
        <f t="shared" si="22"/>
        <v>378.96</v>
      </c>
      <c r="H208" s="55">
        <v>378.96</v>
      </c>
      <c r="I208" s="22" t="s">
        <v>400</v>
      </c>
    </row>
    <row r="209" spans="1:10" x14ac:dyDescent="0.25">
      <c r="A209" s="23">
        <v>19865</v>
      </c>
      <c r="B209" s="24">
        <v>191.56</v>
      </c>
      <c r="C209" s="24">
        <v>9.56</v>
      </c>
      <c r="D209" s="24">
        <v>182</v>
      </c>
      <c r="E209" s="24">
        <v>182</v>
      </c>
      <c r="F209" s="24">
        <v>0</v>
      </c>
      <c r="G209" s="57">
        <f t="shared" si="22"/>
        <v>182</v>
      </c>
      <c r="H209" s="55">
        <v>182</v>
      </c>
      <c r="I209" s="22" t="s">
        <v>400</v>
      </c>
    </row>
    <row r="210" spans="1:10" x14ac:dyDescent="0.25">
      <c r="A210" s="23">
        <v>19866</v>
      </c>
      <c r="B210" s="24">
        <v>545.32000000000005</v>
      </c>
      <c r="C210" s="24">
        <v>25.32</v>
      </c>
      <c r="D210" s="24">
        <v>520</v>
      </c>
      <c r="E210" s="24">
        <v>520</v>
      </c>
      <c r="F210" s="24">
        <v>0</v>
      </c>
      <c r="G210" s="57">
        <f t="shared" si="22"/>
        <v>520</v>
      </c>
      <c r="H210" s="55">
        <v>520</v>
      </c>
      <c r="I210" s="22" t="s">
        <v>400</v>
      </c>
    </row>
    <row r="211" spans="1:10" x14ac:dyDescent="0.25">
      <c r="A211" s="23">
        <v>19867</v>
      </c>
      <c r="B211" s="24">
        <v>353.64</v>
      </c>
      <c r="C211" s="24">
        <v>17.64</v>
      </c>
      <c r="D211" s="24">
        <v>336</v>
      </c>
      <c r="E211" s="24">
        <v>336</v>
      </c>
      <c r="F211" s="24">
        <v>0</v>
      </c>
      <c r="G211" s="57">
        <f t="shared" si="22"/>
        <v>336</v>
      </c>
      <c r="H211" s="55">
        <v>336</v>
      </c>
      <c r="I211" s="22" t="s">
        <v>400</v>
      </c>
    </row>
    <row r="212" spans="1:10" x14ac:dyDescent="0.25">
      <c r="A212" s="23">
        <v>19868</v>
      </c>
      <c r="B212" s="24">
        <v>176.82</v>
      </c>
      <c r="C212" s="24">
        <v>8.82</v>
      </c>
      <c r="D212" s="24">
        <v>168</v>
      </c>
      <c r="E212" s="24">
        <v>168</v>
      </c>
      <c r="F212" s="24">
        <v>0</v>
      </c>
      <c r="G212" s="57">
        <f t="shared" si="22"/>
        <v>168</v>
      </c>
      <c r="H212" s="55">
        <v>180</v>
      </c>
      <c r="I212" s="22" t="str">
        <f>IF(G212=H212,"ok","erro")</f>
        <v>erro</v>
      </c>
      <c r="J212" s="25" t="s">
        <v>410</v>
      </c>
    </row>
    <row r="213" spans="1:10" x14ac:dyDescent="0.25">
      <c r="A213" s="23">
        <v>19869</v>
      </c>
      <c r="B213" s="24">
        <v>104.22</v>
      </c>
      <c r="C213" s="24">
        <v>4.22</v>
      </c>
      <c r="D213" s="24">
        <v>100</v>
      </c>
      <c r="E213" s="24">
        <v>100</v>
      </c>
      <c r="F213" s="24">
        <v>0</v>
      </c>
      <c r="G213" s="57">
        <f t="shared" si="22"/>
        <v>100</v>
      </c>
      <c r="H213" s="55">
        <v>100</v>
      </c>
      <c r="I213" s="22" t="s">
        <v>400</v>
      </c>
    </row>
    <row r="214" spans="1:10" x14ac:dyDescent="0.25">
      <c r="A214" s="23">
        <v>19870</v>
      </c>
      <c r="B214" s="24">
        <v>333.67</v>
      </c>
      <c r="C214" s="24">
        <v>16.100000000000001</v>
      </c>
      <c r="D214" s="24">
        <v>317.57</v>
      </c>
      <c r="E214" s="24">
        <v>317.57</v>
      </c>
      <c r="F214" s="24">
        <v>0</v>
      </c>
      <c r="G214" s="57">
        <f t="shared" si="22"/>
        <v>317.57</v>
      </c>
      <c r="H214" s="55">
        <v>331.57</v>
      </c>
      <c r="I214" s="22" t="str">
        <f t="shared" ref="I214:I215" si="25">IF(G214=H214,"ok","erro")</f>
        <v>erro</v>
      </c>
      <c r="J214" s="25" t="s">
        <v>410</v>
      </c>
    </row>
    <row r="215" spans="1:10" x14ac:dyDescent="0.25">
      <c r="A215" s="23">
        <v>19871</v>
      </c>
      <c r="B215" s="24">
        <v>378.96</v>
      </c>
      <c r="C215" s="24">
        <v>0</v>
      </c>
      <c r="D215" s="24">
        <v>378.96</v>
      </c>
      <c r="E215" s="24">
        <v>378.96</v>
      </c>
      <c r="F215" s="24">
        <v>0</v>
      </c>
      <c r="G215" s="57">
        <f t="shared" si="22"/>
        <v>378.96</v>
      </c>
      <c r="H215" s="55">
        <v>389.96</v>
      </c>
      <c r="I215" s="22" t="str">
        <f t="shared" si="25"/>
        <v>erro</v>
      </c>
      <c r="J215" s="25" t="s">
        <v>410</v>
      </c>
    </row>
    <row r="216" spans="1:10" x14ac:dyDescent="0.25">
      <c r="A216" s="23">
        <v>19872</v>
      </c>
      <c r="B216" s="24">
        <v>574.67999999999995</v>
      </c>
      <c r="C216" s="24">
        <v>0</v>
      </c>
      <c r="D216" s="24">
        <v>574.67999999999995</v>
      </c>
      <c r="E216" s="24">
        <v>574.67999999999995</v>
      </c>
      <c r="F216" s="24">
        <v>0</v>
      </c>
      <c r="G216" s="57">
        <f t="shared" si="22"/>
        <v>574.67999999999995</v>
      </c>
      <c r="H216" s="55">
        <v>574.67999999999995</v>
      </c>
      <c r="I216" s="22" t="s">
        <v>400</v>
      </c>
    </row>
    <row r="217" spans="1:10" x14ac:dyDescent="0.25">
      <c r="A217" s="23">
        <v>19879</v>
      </c>
      <c r="B217" s="24">
        <v>8.44</v>
      </c>
      <c r="C217" s="24">
        <v>0</v>
      </c>
      <c r="D217" s="24">
        <v>8.44</v>
      </c>
      <c r="E217" s="24">
        <v>8.44</v>
      </c>
      <c r="F217" s="24">
        <v>0</v>
      </c>
      <c r="G217" s="57">
        <f t="shared" si="22"/>
        <v>8.44</v>
      </c>
      <c r="H217" s="55">
        <v>8.44</v>
      </c>
      <c r="I217" s="22" t="s">
        <v>400</v>
      </c>
    </row>
    <row r="218" spans="1:10" x14ac:dyDescent="0.25">
      <c r="A218" s="23">
        <v>19881</v>
      </c>
      <c r="B218" s="24">
        <v>159.6</v>
      </c>
      <c r="C218" s="24">
        <v>0</v>
      </c>
      <c r="D218" s="24">
        <v>159.6</v>
      </c>
      <c r="E218" s="24">
        <v>159.6</v>
      </c>
      <c r="F218" s="24">
        <v>0</v>
      </c>
      <c r="G218" s="57">
        <f t="shared" si="22"/>
        <v>159.6</v>
      </c>
      <c r="H218" s="55">
        <v>171.6</v>
      </c>
      <c r="I218" s="22" t="str">
        <f>IF(G218=H218,"ok","erro")</f>
        <v>erro</v>
      </c>
      <c r="J218" s="25" t="s">
        <v>410</v>
      </c>
    </row>
    <row r="219" spans="1:10" x14ac:dyDescent="0.25">
      <c r="A219" s="23">
        <v>19882</v>
      </c>
      <c r="B219" s="24">
        <v>143.66999999999999</v>
      </c>
      <c r="C219" s="24">
        <v>8.67</v>
      </c>
      <c r="D219" s="24">
        <v>135</v>
      </c>
      <c r="E219" s="24">
        <v>135</v>
      </c>
      <c r="F219" s="24">
        <v>0</v>
      </c>
      <c r="G219" s="57">
        <f t="shared" si="22"/>
        <v>135</v>
      </c>
      <c r="H219" s="55">
        <v>135</v>
      </c>
      <c r="I219" s="22" t="s">
        <v>400</v>
      </c>
    </row>
    <row r="220" spans="1:10" x14ac:dyDescent="0.25">
      <c r="A220" s="23">
        <v>19883</v>
      </c>
      <c r="B220" s="24">
        <v>139</v>
      </c>
      <c r="C220" s="24">
        <v>7</v>
      </c>
      <c r="D220" s="24">
        <v>132</v>
      </c>
      <c r="E220" s="24">
        <v>132</v>
      </c>
      <c r="F220" s="24">
        <v>0</v>
      </c>
      <c r="G220" s="57">
        <f t="shared" si="22"/>
        <v>132</v>
      </c>
      <c r="H220" s="55">
        <v>132</v>
      </c>
      <c r="I220" s="22" t="s">
        <v>400</v>
      </c>
    </row>
    <row r="221" spans="1:10" x14ac:dyDescent="0.25">
      <c r="A221" s="23">
        <v>19885</v>
      </c>
      <c r="B221" s="24">
        <v>9.9</v>
      </c>
      <c r="C221" s="24">
        <v>0</v>
      </c>
      <c r="D221" s="24">
        <v>9.9</v>
      </c>
      <c r="E221" s="24">
        <v>9.9</v>
      </c>
      <c r="F221" s="24">
        <v>0</v>
      </c>
      <c r="G221" s="57">
        <f t="shared" si="22"/>
        <v>9.9</v>
      </c>
      <c r="H221" s="55">
        <v>9.9</v>
      </c>
      <c r="I221" s="22" t="s">
        <v>400</v>
      </c>
    </row>
    <row r="222" spans="1:10" x14ac:dyDescent="0.25">
      <c r="A222" s="23">
        <v>19886</v>
      </c>
      <c r="B222" s="24">
        <v>1260.96</v>
      </c>
      <c r="C222" s="24">
        <v>0</v>
      </c>
      <c r="D222" s="24">
        <v>1260.96</v>
      </c>
      <c r="E222" s="24">
        <v>1260.96</v>
      </c>
      <c r="F222" s="24">
        <v>0</v>
      </c>
      <c r="G222" s="57">
        <f t="shared" si="22"/>
        <v>1260.96</v>
      </c>
      <c r="H222" s="55">
        <v>1260.96</v>
      </c>
      <c r="I222" s="22" t="s">
        <v>400</v>
      </c>
    </row>
    <row r="223" spans="1:10" x14ac:dyDescent="0.25">
      <c r="A223" s="23">
        <v>19888</v>
      </c>
      <c r="B223" s="24">
        <v>80</v>
      </c>
      <c r="C223" s="24">
        <v>4</v>
      </c>
      <c r="D223" s="24">
        <v>76</v>
      </c>
      <c r="E223" s="24">
        <v>76</v>
      </c>
      <c r="F223" s="24">
        <v>0</v>
      </c>
      <c r="G223" s="57">
        <f t="shared" si="22"/>
        <v>76</v>
      </c>
      <c r="H223" s="55">
        <v>76</v>
      </c>
      <c r="I223" s="22" t="s">
        <v>400</v>
      </c>
    </row>
    <row r="224" spans="1:10" x14ac:dyDescent="0.25">
      <c r="A224" s="23">
        <v>19889</v>
      </c>
      <c r="B224" s="24">
        <v>294.7</v>
      </c>
      <c r="C224" s="24">
        <v>14.7</v>
      </c>
      <c r="D224" s="24">
        <v>280</v>
      </c>
      <c r="E224" s="24">
        <v>280</v>
      </c>
      <c r="F224" s="24">
        <v>0</v>
      </c>
      <c r="G224" s="57">
        <f t="shared" si="22"/>
        <v>280</v>
      </c>
      <c r="H224" s="55">
        <v>290</v>
      </c>
      <c r="I224" s="22" t="str">
        <f t="shared" ref="I224:I225" si="26">IF(G224=H224,"ok","erro")</f>
        <v>erro</v>
      </c>
      <c r="J224" s="25" t="s">
        <v>410</v>
      </c>
    </row>
    <row r="225" spans="1:10" x14ac:dyDescent="0.25">
      <c r="A225" s="23">
        <v>19890</v>
      </c>
      <c r="B225" s="24">
        <v>101.06</v>
      </c>
      <c r="C225" s="24">
        <v>4.0599999999999996</v>
      </c>
      <c r="D225" s="24">
        <v>97</v>
      </c>
      <c r="E225" s="24">
        <v>97</v>
      </c>
      <c r="F225" s="24">
        <v>12</v>
      </c>
      <c r="G225" s="57">
        <f t="shared" si="22"/>
        <v>109</v>
      </c>
      <c r="H225" s="55">
        <v>109</v>
      </c>
      <c r="I225" s="22" t="str">
        <f t="shared" si="26"/>
        <v>ok</v>
      </c>
      <c r="J225" s="25" t="str">
        <f t="shared" ref="J224:J225" si="27">IF(I225="ok","frete","")</f>
        <v>frete</v>
      </c>
    </row>
    <row r="226" spans="1:10" x14ac:dyDescent="0.25">
      <c r="A226" s="23">
        <v>19892</v>
      </c>
      <c r="B226" s="24">
        <v>580.67999999999995</v>
      </c>
      <c r="C226" s="24">
        <v>28.68</v>
      </c>
      <c r="D226" s="24">
        <v>552</v>
      </c>
      <c r="E226" s="24">
        <v>552</v>
      </c>
      <c r="F226" s="24">
        <v>0</v>
      </c>
      <c r="G226" s="57">
        <f t="shared" si="22"/>
        <v>552</v>
      </c>
      <c r="H226" s="55">
        <v>552</v>
      </c>
      <c r="I226" s="22" t="s">
        <v>400</v>
      </c>
    </row>
    <row r="227" spans="1:10" x14ac:dyDescent="0.25">
      <c r="A227" s="23">
        <v>19895</v>
      </c>
      <c r="B227" s="24">
        <v>587.34</v>
      </c>
      <c r="C227" s="24">
        <v>29.34</v>
      </c>
      <c r="D227" s="24">
        <v>558</v>
      </c>
      <c r="E227" s="24">
        <v>558</v>
      </c>
      <c r="F227" s="24">
        <v>0</v>
      </c>
      <c r="G227" s="57">
        <f t="shared" si="22"/>
        <v>558</v>
      </c>
      <c r="H227" s="55">
        <v>572</v>
      </c>
      <c r="I227" s="22" t="str">
        <f>IF(G227=H227,"ok","erro")</f>
        <v>erro</v>
      </c>
      <c r="J227" s="25" t="s">
        <v>410</v>
      </c>
    </row>
    <row r="228" spans="1:10" x14ac:dyDescent="0.25">
      <c r="A228" s="23">
        <v>19897</v>
      </c>
      <c r="B228" s="24">
        <v>1800</v>
      </c>
      <c r="C228" s="24">
        <v>0</v>
      </c>
      <c r="D228" s="24">
        <v>1800</v>
      </c>
      <c r="E228" s="24">
        <v>1800</v>
      </c>
      <c r="F228" s="24">
        <v>0</v>
      </c>
      <c r="G228" s="57">
        <f t="shared" si="22"/>
        <v>1800</v>
      </c>
      <c r="H228" s="55">
        <v>1800</v>
      </c>
      <c r="I228" s="22" t="s">
        <v>400</v>
      </c>
    </row>
    <row r="229" spans="1:10" x14ac:dyDescent="0.25">
      <c r="A229" s="23">
        <v>19898</v>
      </c>
      <c r="B229" s="24">
        <v>126.32</v>
      </c>
      <c r="C229" s="24">
        <v>6.32</v>
      </c>
      <c r="D229" s="24">
        <v>120</v>
      </c>
      <c r="E229" s="24">
        <v>120</v>
      </c>
      <c r="F229" s="24">
        <v>0</v>
      </c>
      <c r="G229" s="57">
        <f t="shared" si="22"/>
        <v>120</v>
      </c>
      <c r="H229" s="55">
        <v>128</v>
      </c>
      <c r="I229" s="22" t="str">
        <f>IF(G229=H229,"ok","erro")</f>
        <v>erro</v>
      </c>
      <c r="J229" s="25" t="s">
        <v>410</v>
      </c>
    </row>
    <row r="230" spans="1:10" x14ac:dyDescent="0.25">
      <c r="A230" s="23">
        <v>19899</v>
      </c>
      <c r="B230" s="24">
        <v>110</v>
      </c>
      <c r="C230" s="24">
        <v>5.5</v>
      </c>
      <c r="D230" s="24">
        <v>104.5</v>
      </c>
      <c r="E230" s="24">
        <v>104.5</v>
      </c>
      <c r="F230" s="24">
        <v>0</v>
      </c>
      <c r="G230" s="57">
        <f t="shared" si="22"/>
        <v>104.5</v>
      </c>
      <c r="H230" s="55">
        <v>104.5</v>
      </c>
      <c r="I230" s="22" t="s">
        <v>400</v>
      </c>
    </row>
    <row r="231" spans="1:10" x14ac:dyDescent="0.25">
      <c r="A231" s="23">
        <v>19900</v>
      </c>
      <c r="B231" s="24">
        <v>190</v>
      </c>
      <c r="C231" s="24">
        <v>10</v>
      </c>
      <c r="D231" s="24">
        <v>180</v>
      </c>
      <c r="E231" s="24">
        <v>180</v>
      </c>
      <c r="F231" s="24">
        <v>0</v>
      </c>
      <c r="G231" s="57">
        <f t="shared" si="22"/>
        <v>180</v>
      </c>
      <c r="H231" s="55">
        <v>188</v>
      </c>
      <c r="I231" s="22" t="str">
        <f t="shared" ref="I231:I236" si="28">IF(G231=H231,"ok","erro")</f>
        <v>erro</v>
      </c>
      <c r="J231" s="25" t="s">
        <v>410</v>
      </c>
    </row>
    <row r="232" spans="1:10" x14ac:dyDescent="0.25">
      <c r="A232" s="23">
        <v>19901</v>
      </c>
      <c r="B232" s="24">
        <v>16.88</v>
      </c>
      <c r="C232" s="24">
        <v>0</v>
      </c>
      <c r="D232" s="24">
        <v>16.88</v>
      </c>
      <c r="E232" s="24">
        <v>16.88</v>
      </c>
      <c r="F232" s="24">
        <v>0</v>
      </c>
      <c r="G232" s="57">
        <f t="shared" si="22"/>
        <v>16.88</v>
      </c>
      <c r="H232" s="55">
        <v>34.5</v>
      </c>
      <c r="I232" s="22" t="str">
        <f t="shared" si="28"/>
        <v>erro</v>
      </c>
      <c r="J232" s="25" t="s">
        <v>410</v>
      </c>
    </row>
    <row r="233" spans="1:10" x14ac:dyDescent="0.25">
      <c r="A233" s="23">
        <v>19902</v>
      </c>
      <c r="B233" s="24">
        <v>94.41</v>
      </c>
      <c r="C233" s="24">
        <v>4.41</v>
      </c>
      <c r="D233" s="24">
        <v>90</v>
      </c>
      <c r="E233" s="24">
        <v>90</v>
      </c>
      <c r="F233" s="24">
        <v>0</v>
      </c>
      <c r="G233" s="57">
        <f t="shared" si="22"/>
        <v>90</v>
      </c>
      <c r="H233" s="55">
        <v>104</v>
      </c>
      <c r="I233" s="22" t="str">
        <f t="shared" si="28"/>
        <v>erro</v>
      </c>
      <c r="J233" s="25" t="s">
        <v>410</v>
      </c>
    </row>
    <row r="234" spans="1:10" x14ac:dyDescent="0.25">
      <c r="A234" s="23">
        <v>19904</v>
      </c>
      <c r="B234" s="24">
        <v>718.35</v>
      </c>
      <c r="C234" s="24">
        <v>35.92</v>
      </c>
      <c r="D234" s="24">
        <v>682.43</v>
      </c>
      <c r="E234" s="24">
        <v>682.43</v>
      </c>
      <c r="F234" s="24">
        <v>0</v>
      </c>
      <c r="G234" s="57">
        <f t="shared" si="22"/>
        <v>682.43</v>
      </c>
      <c r="H234" s="55">
        <v>693</v>
      </c>
      <c r="I234" s="22" t="str">
        <f t="shared" si="28"/>
        <v>erro</v>
      </c>
      <c r="J234" s="25" t="s">
        <v>410</v>
      </c>
    </row>
    <row r="235" spans="1:10" x14ac:dyDescent="0.25">
      <c r="A235" s="23">
        <v>19905</v>
      </c>
      <c r="B235" s="24">
        <v>355.23</v>
      </c>
      <c r="C235" s="24">
        <v>16.73</v>
      </c>
      <c r="D235" s="24">
        <v>338.5</v>
      </c>
      <c r="E235" s="24">
        <v>338.5</v>
      </c>
      <c r="F235" s="24">
        <v>0</v>
      </c>
      <c r="G235" s="57">
        <f t="shared" si="22"/>
        <v>338.5</v>
      </c>
      <c r="H235" s="55">
        <v>350.5</v>
      </c>
      <c r="I235" s="22" t="str">
        <f t="shared" si="28"/>
        <v>erro</v>
      </c>
      <c r="J235" s="25" t="s">
        <v>410</v>
      </c>
    </row>
    <row r="236" spans="1:10" x14ac:dyDescent="0.25">
      <c r="A236" s="23">
        <v>19906</v>
      </c>
      <c r="B236" s="24">
        <v>398.96</v>
      </c>
      <c r="C236" s="24">
        <v>18.96</v>
      </c>
      <c r="D236" s="24">
        <v>380</v>
      </c>
      <c r="E236" s="24">
        <v>380</v>
      </c>
      <c r="F236" s="24">
        <v>0</v>
      </c>
      <c r="G236" s="57">
        <f t="shared" si="22"/>
        <v>380</v>
      </c>
      <c r="H236" s="55">
        <v>390</v>
      </c>
      <c r="I236" s="22" t="str">
        <f t="shared" si="28"/>
        <v>erro</v>
      </c>
      <c r="J236" s="25" t="s">
        <v>410</v>
      </c>
    </row>
    <row r="237" spans="1:10" x14ac:dyDescent="0.25">
      <c r="A237" s="23">
        <v>19908</v>
      </c>
      <c r="B237" s="24">
        <v>56</v>
      </c>
      <c r="C237" s="24">
        <v>3</v>
      </c>
      <c r="D237" s="24">
        <v>53</v>
      </c>
      <c r="E237" s="24">
        <v>53</v>
      </c>
      <c r="F237" s="24">
        <v>0</v>
      </c>
      <c r="G237" s="57">
        <f t="shared" si="22"/>
        <v>53</v>
      </c>
      <c r="H237" s="55">
        <v>53</v>
      </c>
      <c r="I237" s="22" t="s">
        <v>400</v>
      </c>
    </row>
    <row r="238" spans="1:10" x14ac:dyDescent="0.25">
      <c r="A238" s="23">
        <v>19909</v>
      </c>
      <c r="B238" s="24">
        <v>225.92</v>
      </c>
      <c r="C238" s="24">
        <v>10.92</v>
      </c>
      <c r="D238" s="24">
        <v>215</v>
      </c>
      <c r="E238" s="24">
        <v>215</v>
      </c>
      <c r="F238" s="24">
        <v>0</v>
      </c>
      <c r="G238" s="57">
        <f t="shared" si="22"/>
        <v>215</v>
      </c>
      <c r="H238" s="55">
        <v>225</v>
      </c>
      <c r="I238" s="22" t="str">
        <f>IF(G238=H238,"ok","erro")</f>
        <v>erro</v>
      </c>
      <c r="J238" s="25" t="s">
        <v>410</v>
      </c>
    </row>
    <row r="239" spans="1:10" x14ac:dyDescent="0.25">
      <c r="A239" s="23">
        <v>19910</v>
      </c>
      <c r="B239" s="24">
        <v>221.8</v>
      </c>
      <c r="C239" s="24">
        <v>0</v>
      </c>
      <c r="D239" s="24">
        <v>221.8</v>
      </c>
      <c r="E239" s="24">
        <v>221.8</v>
      </c>
      <c r="F239" s="24">
        <v>0</v>
      </c>
      <c r="G239" s="57">
        <f t="shared" si="22"/>
        <v>221.8</v>
      </c>
      <c r="H239" s="55">
        <v>221.8</v>
      </c>
      <c r="I239" s="22" t="s">
        <v>400</v>
      </c>
    </row>
    <row r="240" spans="1:10" x14ac:dyDescent="0.25">
      <c r="A240" s="23">
        <v>19911</v>
      </c>
      <c r="B240" s="24">
        <v>287.33999999999997</v>
      </c>
      <c r="C240" s="24">
        <v>14.34</v>
      </c>
      <c r="D240" s="24">
        <v>273</v>
      </c>
      <c r="E240" s="24">
        <v>273</v>
      </c>
      <c r="F240" s="24">
        <v>0</v>
      </c>
      <c r="G240" s="57">
        <f t="shared" si="22"/>
        <v>273</v>
      </c>
      <c r="H240" s="55">
        <v>273</v>
      </c>
      <c r="I240" s="22" t="s">
        <v>400</v>
      </c>
    </row>
    <row r="241" spans="1:10" x14ac:dyDescent="0.25">
      <c r="A241" s="23">
        <v>19912</v>
      </c>
      <c r="B241" s="24">
        <v>690</v>
      </c>
      <c r="C241" s="24">
        <v>28.68</v>
      </c>
      <c r="D241" s="24">
        <v>661.32</v>
      </c>
      <c r="E241" s="24">
        <v>661.32</v>
      </c>
      <c r="F241" s="24">
        <v>0</v>
      </c>
      <c r="G241" s="57">
        <f t="shared" si="22"/>
        <v>661.32</v>
      </c>
      <c r="H241" s="55">
        <v>661.32</v>
      </c>
      <c r="I241" s="22" t="s">
        <v>400</v>
      </c>
    </row>
    <row r="242" spans="1:10" x14ac:dyDescent="0.25">
      <c r="A242" s="23">
        <v>19913</v>
      </c>
      <c r="B242" s="24">
        <v>220.55</v>
      </c>
      <c r="C242" s="24">
        <v>10.55</v>
      </c>
      <c r="D242" s="24">
        <v>210</v>
      </c>
      <c r="E242" s="24">
        <v>210</v>
      </c>
      <c r="F242" s="24">
        <v>0</v>
      </c>
      <c r="G242" s="57">
        <f t="shared" si="22"/>
        <v>210</v>
      </c>
      <c r="H242" s="55">
        <v>210</v>
      </c>
      <c r="I242" s="22" t="s">
        <v>400</v>
      </c>
    </row>
    <row r="243" spans="1:10" x14ac:dyDescent="0.25">
      <c r="A243" s="23">
        <v>19914</v>
      </c>
      <c r="B243" s="24">
        <v>40</v>
      </c>
      <c r="C243" s="24">
        <v>0</v>
      </c>
      <c r="D243" s="24">
        <v>40</v>
      </c>
      <c r="E243" s="24">
        <v>40</v>
      </c>
      <c r="F243" s="24">
        <v>0</v>
      </c>
      <c r="G243" s="57">
        <f t="shared" si="22"/>
        <v>40</v>
      </c>
      <c r="H243" s="55">
        <v>52</v>
      </c>
      <c r="I243" s="22" t="str">
        <f t="shared" ref="I243:I245" si="29">IF(G243=H243,"ok","erro")</f>
        <v>erro</v>
      </c>
      <c r="J243" s="25" t="s">
        <v>410</v>
      </c>
    </row>
    <row r="244" spans="1:10" x14ac:dyDescent="0.25">
      <c r="A244" s="23">
        <v>19915</v>
      </c>
      <c r="B244" s="24">
        <v>176.82</v>
      </c>
      <c r="C244" s="24">
        <v>8.82</v>
      </c>
      <c r="D244" s="24">
        <v>168</v>
      </c>
      <c r="E244" s="24">
        <v>168</v>
      </c>
      <c r="F244" s="24">
        <v>0</v>
      </c>
      <c r="G244" s="57">
        <f t="shared" si="22"/>
        <v>168</v>
      </c>
      <c r="H244" s="55">
        <v>183</v>
      </c>
      <c r="I244" s="22" t="str">
        <f t="shared" si="29"/>
        <v>erro</v>
      </c>
      <c r="J244" s="25" t="s">
        <v>407</v>
      </c>
    </row>
    <row r="245" spans="1:10" x14ac:dyDescent="0.25">
      <c r="A245" s="23">
        <v>19916</v>
      </c>
      <c r="B245" s="24">
        <v>58.94</v>
      </c>
      <c r="C245" s="24">
        <v>2.94</v>
      </c>
      <c r="D245" s="24">
        <v>56</v>
      </c>
      <c r="E245" s="24">
        <v>56</v>
      </c>
      <c r="F245" s="24">
        <v>0</v>
      </c>
      <c r="G245" s="57">
        <f t="shared" si="22"/>
        <v>56</v>
      </c>
      <c r="H245" s="55">
        <v>69</v>
      </c>
      <c r="I245" s="22" t="str">
        <f t="shared" si="29"/>
        <v>erro</v>
      </c>
      <c r="J245" s="25" t="s">
        <v>409</v>
      </c>
    </row>
    <row r="246" spans="1:10" x14ac:dyDescent="0.25">
      <c r="A246" s="23">
        <v>19921</v>
      </c>
      <c r="B246" s="24">
        <v>99.99</v>
      </c>
      <c r="C246" s="24">
        <v>4.99</v>
      </c>
      <c r="D246" s="24">
        <v>95</v>
      </c>
      <c r="E246" s="24">
        <v>95</v>
      </c>
      <c r="F246" s="24">
        <v>0</v>
      </c>
      <c r="G246" s="57">
        <f t="shared" si="22"/>
        <v>95</v>
      </c>
      <c r="H246" s="55">
        <v>95</v>
      </c>
      <c r="I246" s="22" t="s">
        <v>400</v>
      </c>
    </row>
    <row r="247" spans="1:10" x14ac:dyDescent="0.25">
      <c r="A247" s="23">
        <v>19922</v>
      </c>
      <c r="B247" s="24">
        <v>145.28</v>
      </c>
      <c r="C247" s="24">
        <v>7.28</v>
      </c>
      <c r="D247" s="24">
        <v>138</v>
      </c>
      <c r="E247" s="24">
        <v>138</v>
      </c>
      <c r="F247" s="24">
        <v>0</v>
      </c>
      <c r="G247" s="57">
        <f t="shared" si="22"/>
        <v>138</v>
      </c>
      <c r="H247" s="55">
        <v>138</v>
      </c>
      <c r="I247" s="22" t="s">
        <v>400</v>
      </c>
    </row>
    <row r="248" spans="1:10" x14ac:dyDescent="0.25">
      <c r="A248" s="23">
        <v>19924</v>
      </c>
      <c r="B248" s="24">
        <v>1680</v>
      </c>
      <c r="C248" s="24">
        <v>42.86</v>
      </c>
      <c r="D248" s="24">
        <v>1637.14</v>
      </c>
      <c r="E248" s="24">
        <v>1637.14</v>
      </c>
      <c r="F248" s="24">
        <v>0</v>
      </c>
      <c r="G248" s="57">
        <f t="shared" si="22"/>
        <v>1637.14</v>
      </c>
      <c r="H248" s="55">
        <v>1637.14</v>
      </c>
      <c r="I248" s="22" t="s">
        <v>400</v>
      </c>
    </row>
    <row r="249" spans="1:10" x14ac:dyDescent="0.25">
      <c r="A249" s="23">
        <v>19925</v>
      </c>
      <c r="B249" s="24">
        <v>435.84</v>
      </c>
      <c r="C249" s="24">
        <v>0</v>
      </c>
      <c r="D249" s="24">
        <v>435.84</v>
      </c>
      <c r="E249" s="24">
        <v>435.84</v>
      </c>
      <c r="F249" s="24">
        <v>0</v>
      </c>
      <c r="G249" s="57">
        <f t="shared" si="22"/>
        <v>435.84</v>
      </c>
      <c r="H249" s="55">
        <v>435.84</v>
      </c>
      <c r="I249" s="22" t="s">
        <v>400</v>
      </c>
    </row>
    <row r="250" spans="1:10" x14ac:dyDescent="0.25">
      <c r="A250" s="23">
        <v>19926</v>
      </c>
      <c r="B250" s="24">
        <v>574.67999999999995</v>
      </c>
      <c r="C250" s="24">
        <v>28.68</v>
      </c>
      <c r="D250" s="24">
        <v>546</v>
      </c>
      <c r="E250" s="24">
        <v>546</v>
      </c>
      <c r="F250" s="24">
        <v>0</v>
      </c>
      <c r="G250" s="57">
        <f t="shared" si="22"/>
        <v>546</v>
      </c>
      <c r="H250" s="55">
        <v>553</v>
      </c>
      <c r="I250" s="22" t="str">
        <f t="shared" ref="I250:I251" si="30">IF(G250=H250,"ok","erro")</f>
        <v>erro</v>
      </c>
      <c r="J250" s="25" t="s">
        <v>407</v>
      </c>
    </row>
    <row r="251" spans="1:10" x14ac:dyDescent="0.25">
      <c r="A251" s="23">
        <v>19927</v>
      </c>
      <c r="B251" s="24">
        <v>354</v>
      </c>
      <c r="C251" s="24">
        <v>0</v>
      </c>
      <c r="D251" s="24">
        <v>354</v>
      </c>
      <c r="E251" s="24">
        <v>354</v>
      </c>
      <c r="F251" s="24">
        <v>7</v>
      </c>
      <c r="G251" s="57">
        <f t="shared" si="22"/>
        <v>361</v>
      </c>
      <c r="H251" s="55">
        <v>361</v>
      </c>
      <c r="I251" s="22" t="str">
        <f t="shared" si="30"/>
        <v>ok</v>
      </c>
      <c r="J251" s="25" t="str">
        <f t="shared" ref="J250:J251" si="31">IF(I251="ok","frete","")</f>
        <v>frete</v>
      </c>
    </row>
    <row r="252" spans="1:10" x14ac:dyDescent="0.25">
      <c r="A252" s="23">
        <v>19929</v>
      </c>
      <c r="B252" s="24">
        <v>435.84</v>
      </c>
      <c r="C252" s="24">
        <v>0</v>
      </c>
      <c r="D252" s="24">
        <v>435.84</v>
      </c>
      <c r="E252" s="24">
        <v>435.84</v>
      </c>
      <c r="F252" s="24">
        <v>0</v>
      </c>
      <c r="G252" s="57">
        <f t="shared" si="22"/>
        <v>435.84</v>
      </c>
      <c r="H252" s="55">
        <v>435.84</v>
      </c>
      <c r="I252" s="22" t="s">
        <v>400</v>
      </c>
    </row>
    <row r="253" spans="1:10" x14ac:dyDescent="0.25">
      <c r="A253" s="23"/>
      <c r="B253" s="24"/>
      <c r="C253" s="24"/>
      <c r="D253" s="24"/>
      <c r="E253" s="24"/>
      <c r="F253" s="24"/>
      <c r="G253" s="57"/>
      <c r="H253" s="55"/>
    </row>
    <row r="254" spans="1:10" x14ac:dyDescent="0.25">
      <c r="A254" s="23"/>
      <c r="B254" s="24"/>
      <c r="C254" s="24"/>
      <c r="D254" s="24"/>
      <c r="E254" s="24"/>
      <c r="F254" s="24"/>
      <c r="G254" s="57"/>
      <c r="H254" s="55"/>
    </row>
    <row r="255" spans="1:10" x14ac:dyDescent="0.25">
      <c r="A255" s="27"/>
      <c r="B255" s="28">
        <f>SUM(B2:B252)</f>
        <v>196400.50000000009</v>
      </c>
      <c r="C255" s="28">
        <f>SUM(C2:C252)</f>
        <v>5309.83</v>
      </c>
      <c r="D255" s="28">
        <f>SUM(D2:D252)</f>
        <v>191090.66999999993</v>
      </c>
      <c r="E255" s="28">
        <f>SUM(E2:E252)</f>
        <v>191090.66999999993</v>
      </c>
      <c r="F255" s="28">
        <f>SUM(F2:F252)</f>
        <v>330.01</v>
      </c>
      <c r="G255" s="58"/>
      <c r="H255" s="55"/>
    </row>
    <row r="256" spans="1:10" x14ac:dyDescent="0.25">
      <c r="A256" s="29" t="s">
        <v>353</v>
      </c>
      <c r="B256" s="30">
        <v>1680</v>
      </c>
      <c r="C256" s="30">
        <v>42.86</v>
      </c>
      <c r="D256" s="30">
        <v>1637.14</v>
      </c>
      <c r="E256" s="30">
        <v>1637.14</v>
      </c>
      <c r="F256" s="31" t="s">
        <v>355</v>
      </c>
      <c r="G256" s="59"/>
      <c r="H256" s="55"/>
    </row>
    <row r="257" spans="1:8" x14ac:dyDescent="0.25">
      <c r="A257" s="32" t="s">
        <v>354</v>
      </c>
      <c r="B257" s="28">
        <f t="shared" ref="B257:E257" si="32">B255-B256</f>
        <v>194720.50000000009</v>
      </c>
      <c r="C257" s="28">
        <f t="shared" si="32"/>
        <v>5266.97</v>
      </c>
      <c r="D257" s="28">
        <f t="shared" si="32"/>
        <v>189453.52999999991</v>
      </c>
      <c r="E257" s="28">
        <f t="shared" si="32"/>
        <v>189453.52999999991</v>
      </c>
      <c r="F257" s="33" t="s">
        <v>355</v>
      </c>
      <c r="G257" s="60"/>
      <c r="H257" s="55"/>
    </row>
    <row r="260" spans="1:8" x14ac:dyDescent="0.25">
      <c r="A260" s="22" t="s">
        <v>408</v>
      </c>
    </row>
  </sheetData>
  <autoFilter ref="A1:J252"/>
  <pageMargins left="0.511811024" right="0.511811024" top="0.78740157499999996" bottom="0.78740157499999996" header="0.31496062000000002" footer="0.31496062000000002"/>
  <pageSetup paperSize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 x14ac:dyDescent="0.25"/>
  <cols>
    <col min="1" max="1" width="52.42578125" style="22" bestFit="1" customWidth="1"/>
    <col min="2" max="2" width="8.140625" style="22" bestFit="1" customWidth="1"/>
    <col min="3" max="3" width="29.85546875" style="22" bestFit="1" customWidth="1"/>
    <col min="4" max="4" width="18.7109375" style="22" bestFit="1" customWidth="1"/>
    <col min="5" max="16384" width="9.140625" style="22"/>
  </cols>
  <sheetData>
    <row r="1" spans="1:4" x14ac:dyDescent="0.25">
      <c r="A1" s="36" t="s">
        <v>358</v>
      </c>
      <c r="B1" s="36" t="s">
        <v>359</v>
      </c>
      <c r="C1" s="36" t="s">
        <v>360</v>
      </c>
      <c r="D1" s="36" t="s">
        <v>361</v>
      </c>
    </row>
    <row r="2" spans="1:4" x14ac:dyDescent="0.25">
      <c r="A2" s="46" t="s">
        <v>362</v>
      </c>
      <c r="B2" s="47">
        <v>41</v>
      </c>
      <c r="C2" s="45" t="s">
        <v>383</v>
      </c>
      <c r="D2" s="45" t="s">
        <v>384</v>
      </c>
    </row>
    <row r="3" spans="1:4" x14ac:dyDescent="0.25">
      <c r="A3" s="48" t="s">
        <v>363</v>
      </c>
      <c r="B3" s="47"/>
      <c r="C3" s="45" t="s">
        <v>385</v>
      </c>
      <c r="D3" s="26" t="s">
        <v>386</v>
      </c>
    </row>
    <row r="4" spans="1:4" x14ac:dyDescent="0.25">
      <c r="A4" s="48"/>
      <c r="B4" s="47"/>
      <c r="C4" s="45" t="s">
        <v>387</v>
      </c>
      <c r="D4" s="49"/>
    </row>
    <row r="5" spans="1:4" x14ac:dyDescent="0.25">
      <c r="A5" s="48"/>
      <c r="B5" s="47"/>
      <c r="C5" s="26" t="s">
        <v>386</v>
      </c>
      <c r="D5" s="45" t="s">
        <v>365</v>
      </c>
    </row>
    <row r="6" spans="1:4" x14ac:dyDescent="0.25">
      <c r="A6" s="48"/>
      <c r="B6" s="47"/>
      <c r="C6" s="49"/>
      <c r="D6" s="50"/>
    </row>
    <row r="7" spans="1:4" x14ac:dyDescent="0.25">
      <c r="A7" s="48"/>
      <c r="B7" s="47"/>
      <c r="C7" s="45" t="s">
        <v>364</v>
      </c>
      <c r="D7" s="50"/>
    </row>
    <row r="8" spans="1:4" x14ac:dyDescent="0.25">
      <c r="A8" s="46" t="s">
        <v>366</v>
      </c>
      <c r="B8" s="47">
        <v>17</v>
      </c>
      <c r="C8" s="45" t="s">
        <v>383</v>
      </c>
      <c r="D8" s="45" t="s">
        <v>384</v>
      </c>
    </row>
    <row r="9" spans="1:4" x14ac:dyDescent="0.25">
      <c r="A9" s="48" t="s">
        <v>367</v>
      </c>
      <c r="B9" s="47"/>
      <c r="C9" s="45" t="s">
        <v>388</v>
      </c>
      <c r="D9" s="26" t="s">
        <v>386</v>
      </c>
    </row>
    <row r="10" spans="1:4" x14ac:dyDescent="0.25">
      <c r="A10" s="48"/>
      <c r="B10" s="47"/>
      <c r="C10" s="45" t="s">
        <v>389</v>
      </c>
      <c r="D10" s="49"/>
    </row>
    <row r="11" spans="1:4" x14ac:dyDescent="0.25">
      <c r="A11" s="48"/>
      <c r="B11" s="47"/>
      <c r="C11" s="26" t="s">
        <v>386</v>
      </c>
      <c r="D11" s="45" t="s">
        <v>365</v>
      </c>
    </row>
    <row r="12" spans="1:4" x14ac:dyDescent="0.25">
      <c r="A12" s="48"/>
      <c r="B12" s="47"/>
      <c r="C12" s="49"/>
      <c r="D12" s="50"/>
    </row>
    <row r="13" spans="1:4" x14ac:dyDescent="0.25">
      <c r="A13" s="48"/>
      <c r="B13" s="47"/>
      <c r="C13" s="45" t="s">
        <v>368</v>
      </c>
      <c r="D13" s="50"/>
    </row>
    <row r="14" spans="1:4" x14ac:dyDescent="0.25">
      <c r="A14" s="46" t="s">
        <v>369</v>
      </c>
      <c r="B14" s="47">
        <v>2</v>
      </c>
      <c r="C14" s="45" t="s">
        <v>383</v>
      </c>
      <c r="D14" s="45" t="s">
        <v>384</v>
      </c>
    </row>
    <row r="15" spans="1:4" x14ac:dyDescent="0.25">
      <c r="A15" s="48" t="s">
        <v>370</v>
      </c>
      <c r="B15" s="47"/>
      <c r="C15" s="45" t="s">
        <v>390</v>
      </c>
      <c r="D15" s="26" t="s">
        <v>386</v>
      </c>
    </row>
    <row r="16" spans="1:4" x14ac:dyDescent="0.25">
      <c r="A16" s="48"/>
      <c r="B16" s="47"/>
      <c r="C16" s="45" t="s">
        <v>391</v>
      </c>
      <c r="D16" s="49"/>
    </row>
    <row r="17" spans="1:4" x14ac:dyDescent="0.25">
      <c r="A17" s="48"/>
      <c r="B17" s="47"/>
      <c r="C17" s="26" t="s">
        <v>386</v>
      </c>
      <c r="D17" s="45" t="s">
        <v>365</v>
      </c>
    </row>
    <row r="18" spans="1:4" x14ac:dyDescent="0.25">
      <c r="A18" s="48"/>
      <c r="B18" s="47"/>
      <c r="C18" s="49"/>
      <c r="D18" s="50"/>
    </row>
    <row r="19" spans="1:4" x14ac:dyDescent="0.25">
      <c r="A19" s="48"/>
      <c r="B19" s="47"/>
      <c r="C19" s="45" t="s">
        <v>371</v>
      </c>
      <c r="D19" s="50"/>
    </row>
    <row r="20" spans="1:4" x14ac:dyDescent="0.25">
      <c r="A20" s="46" t="s">
        <v>372</v>
      </c>
      <c r="B20" s="47">
        <v>17</v>
      </c>
      <c r="C20" s="45" t="s">
        <v>383</v>
      </c>
      <c r="D20" s="45" t="s">
        <v>384</v>
      </c>
    </row>
    <row r="21" spans="1:4" x14ac:dyDescent="0.25">
      <c r="A21" s="48" t="s">
        <v>373</v>
      </c>
      <c r="B21" s="47"/>
      <c r="C21" s="45" t="s">
        <v>392</v>
      </c>
      <c r="D21" s="26" t="s">
        <v>386</v>
      </c>
    </row>
    <row r="22" spans="1:4" x14ac:dyDescent="0.25">
      <c r="A22" s="48"/>
      <c r="B22" s="47"/>
      <c r="C22" s="45" t="s">
        <v>393</v>
      </c>
      <c r="D22" s="49"/>
    </row>
    <row r="23" spans="1:4" x14ac:dyDescent="0.25">
      <c r="A23" s="48"/>
      <c r="B23" s="47"/>
      <c r="C23" s="26" t="s">
        <v>386</v>
      </c>
      <c r="D23" s="45" t="s">
        <v>365</v>
      </c>
    </row>
    <row r="24" spans="1:4" x14ac:dyDescent="0.25">
      <c r="A24" s="48"/>
      <c r="B24" s="47"/>
      <c r="C24" s="49"/>
      <c r="D24" s="50"/>
    </row>
    <row r="25" spans="1:4" x14ac:dyDescent="0.25">
      <c r="A25" s="48"/>
      <c r="B25" s="47"/>
      <c r="C25" s="45" t="s">
        <v>374</v>
      </c>
      <c r="D25" s="50"/>
    </row>
    <row r="26" spans="1:4" x14ac:dyDescent="0.25">
      <c r="A26" s="46" t="s">
        <v>268</v>
      </c>
      <c r="B26" s="47">
        <v>139</v>
      </c>
      <c r="C26" s="45" t="s">
        <v>383</v>
      </c>
      <c r="D26" s="45" t="s">
        <v>384</v>
      </c>
    </row>
    <row r="27" spans="1:4" x14ac:dyDescent="0.25">
      <c r="A27" s="48" t="s">
        <v>375</v>
      </c>
      <c r="B27" s="47"/>
      <c r="C27" s="45" t="s">
        <v>394</v>
      </c>
      <c r="D27" s="26" t="s">
        <v>386</v>
      </c>
    </row>
    <row r="28" spans="1:4" x14ac:dyDescent="0.25">
      <c r="A28" s="48"/>
      <c r="B28" s="47"/>
      <c r="C28" s="45" t="s">
        <v>395</v>
      </c>
      <c r="D28" s="49"/>
    </row>
    <row r="29" spans="1:4" x14ac:dyDescent="0.25">
      <c r="A29" s="48"/>
      <c r="B29" s="47"/>
      <c r="C29" s="26" t="s">
        <v>396</v>
      </c>
      <c r="D29" s="45" t="s">
        <v>365</v>
      </c>
    </row>
    <row r="30" spans="1:4" x14ac:dyDescent="0.25">
      <c r="A30" s="48"/>
      <c r="B30" s="47"/>
      <c r="C30" s="49"/>
      <c r="D30" s="50"/>
    </row>
    <row r="31" spans="1:4" x14ac:dyDescent="0.25">
      <c r="A31" s="48"/>
      <c r="B31" s="47"/>
      <c r="C31" s="45" t="s">
        <v>376</v>
      </c>
      <c r="D31" s="50"/>
    </row>
    <row r="32" spans="1:4" x14ac:dyDescent="0.25">
      <c r="A32" s="46" t="s">
        <v>377</v>
      </c>
      <c r="B32" s="47">
        <v>35</v>
      </c>
      <c r="C32" s="45" t="s">
        <v>397</v>
      </c>
      <c r="D32" s="45" t="s">
        <v>384</v>
      </c>
    </row>
    <row r="33" spans="1:4" x14ac:dyDescent="0.25">
      <c r="A33" s="48" t="s">
        <v>378</v>
      </c>
      <c r="B33" s="47"/>
      <c r="C33" s="45" t="s">
        <v>398</v>
      </c>
      <c r="D33" s="26" t="s">
        <v>386</v>
      </c>
    </row>
    <row r="34" spans="1:4" x14ac:dyDescent="0.25">
      <c r="A34" s="48"/>
      <c r="B34" s="47"/>
      <c r="C34" s="45" t="s">
        <v>399</v>
      </c>
      <c r="D34" s="49"/>
    </row>
    <row r="35" spans="1:4" x14ac:dyDescent="0.25">
      <c r="A35" s="48"/>
      <c r="B35" s="47"/>
      <c r="C35" s="26" t="s">
        <v>386</v>
      </c>
      <c r="D35" s="45" t="s">
        <v>365</v>
      </c>
    </row>
    <row r="36" spans="1:4" x14ac:dyDescent="0.25">
      <c r="A36" s="48"/>
      <c r="B36" s="47"/>
      <c r="C36" s="49"/>
      <c r="D36" s="50"/>
    </row>
    <row r="37" spans="1:4" x14ac:dyDescent="0.25">
      <c r="A37" s="48"/>
      <c r="B37" s="47"/>
      <c r="C37" s="45" t="s">
        <v>379</v>
      </c>
      <c r="D37" s="50"/>
    </row>
    <row r="38" spans="1:4" x14ac:dyDescent="0.25">
      <c r="A38" s="51" t="s">
        <v>380</v>
      </c>
      <c r="B38" s="52">
        <v>251</v>
      </c>
      <c r="C38" s="53">
        <v>191090.67</v>
      </c>
      <c r="D38" s="53">
        <v>0</v>
      </c>
    </row>
    <row r="39" spans="1:4" x14ac:dyDescent="0.25">
      <c r="A39" s="54" t="s">
        <v>381</v>
      </c>
      <c r="B39" s="54"/>
      <c r="C39" s="30">
        <v>1637.14</v>
      </c>
      <c r="D39" s="30">
        <v>0</v>
      </c>
    </row>
    <row r="40" spans="1:4" x14ac:dyDescent="0.25">
      <c r="A40" s="54" t="s">
        <v>382</v>
      </c>
      <c r="B40" s="54"/>
      <c r="C40" s="53">
        <v>189453.53</v>
      </c>
      <c r="D40" s="53">
        <v>0</v>
      </c>
    </row>
  </sheetData>
  <mergeCells count="8">
    <mergeCell ref="A39:B39"/>
    <mergeCell ref="A40:B40"/>
    <mergeCell ref="B2:B7"/>
    <mergeCell ref="B8:B13"/>
    <mergeCell ref="B14:B19"/>
    <mergeCell ref="B20:B25"/>
    <mergeCell ref="B26:B31"/>
    <mergeCell ref="B32:B3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Views>
    <sheetView workbookViewId="0"/>
  </sheetViews>
  <sheetFormatPr defaultRowHeight="15" x14ac:dyDescent="0.25"/>
  <cols>
    <col min="1" max="1" width="28.85546875" bestFit="1" customWidth="1"/>
    <col min="2" max="2" width="12.7109375" bestFit="1" customWidth="1"/>
    <col min="3" max="3" width="10.7109375" bestFit="1" customWidth="1"/>
    <col min="4" max="4" width="12.7109375" bestFit="1" customWidth="1"/>
    <col min="5" max="5" width="10.85546875" bestFit="1" customWidth="1"/>
    <col min="7" max="7" width="5.7109375" bestFit="1" customWidth="1"/>
    <col min="8" max="8" width="10.7109375" bestFit="1" customWidth="1"/>
    <col min="9" max="9" width="7.140625" bestFit="1" customWidth="1"/>
    <col min="10" max="10" width="10.7109375" bestFit="1" customWidth="1"/>
    <col min="11" max="11" width="8.140625" bestFit="1" customWidth="1"/>
  </cols>
  <sheetData>
    <row r="1" spans="1:7" x14ac:dyDescent="0.25">
      <c r="A1" s="37" t="s">
        <v>356</v>
      </c>
      <c r="B1" s="37" t="s">
        <v>348</v>
      </c>
      <c r="C1" s="37" t="s">
        <v>349</v>
      </c>
      <c r="D1" s="37" t="s">
        <v>350</v>
      </c>
      <c r="E1" s="37" t="s">
        <v>352</v>
      </c>
      <c r="F1" s="63" t="s">
        <v>402</v>
      </c>
      <c r="G1" s="63" t="s">
        <v>403</v>
      </c>
    </row>
    <row r="2" spans="1:7" x14ac:dyDescent="0.25">
      <c r="A2" s="38">
        <v>14535</v>
      </c>
      <c r="B2" s="39">
        <v>233.7</v>
      </c>
      <c r="C2" s="39">
        <v>10.7</v>
      </c>
      <c r="D2" s="39">
        <v>223</v>
      </c>
      <c r="E2" s="39">
        <v>0</v>
      </c>
      <c r="F2" s="62">
        <v>223</v>
      </c>
      <c r="G2" t="s">
        <v>400</v>
      </c>
    </row>
    <row r="3" spans="1:7" x14ac:dyDescent="0.25">
      <c r="A3" s="38">
        <v>14536</v>
      </c>
      <c r="B3" s="39">
        <v>575.32000000000005</v>
      </c>
      <c r="C3" s="39">
        <v>25.32</v>
      </c>
      <c r="D3" s="39">
        <v>550</v>
      </c>
      <c r="E3" s="39">
        <v>0</v>
      </c>
      <c r="F3" s="62">
        <v>550</v>
      </c>
      <c r="G3" t="s">
        <v>400</v>
      </c>
    </row>
    <row r="4" spans="1:7" x14ac:dyDescent="0.25">
      <c r="A4" s="38">
        <v>14537</v>
      </c>
      <c r="B4" s="39">
        <v>84.22</v>
      </c>
      <c r="C4" s="39">
        <v>4.22</v>
      </c>
      <c r="D4" s="39">
        <v>80</v>
      </c>
      <c r="E4" s="39">
        <v>0</v>
      </c>
      <c r="F4" s="62">
        <v>80</v>
      </c>
      <c r="G4" t="s">
        <v>400</v>
      </c>
    </row>
    <row r="5" spans="1:7" x14ac:dyDescent="0.25">
      <c r="A5" s="38">
        <v>14538</v>
      </c>
      <c r="B5" s="39">
        <v>498.21</v>
      </c>
      <c r="C5" s="39">
        <v>23.21</v>
      </c>
      <c r="D5" s="39">
        <v>475</v>
      </c>
      <c r="E5" s="39">
        <v>0</v>
      </c>
      <c r="F5" s="62">
        <v>475</v>
      </c>
      <c r="G5" t="s">
        <v>400</v>
      </c>
    </row>
    <row r="6" spans="1:7" x14ac:dyDescent="0.25">
      <c r="A6" s="38">
        <v>14539</v>
      </c>
      <c r="B6" s="39">
        <v>188.82</v>
      </c>
      <c r="C6" s="39">
        <v>8.82</v>
      </c>
      <c r="D6" s="39">
        <v>180</v>
      </c>
      <c r="E6" s="39">
        <v>0</v>
      </c>
      <c r="F6" s="62">
        <v>180</v>
      </c>
      <c r="G6" t="s">
        <v>400</v>
      </c>
    </row>
    <row r="7" spans="1:7" x14ac:dyDescent="0.25">
      <c r="A7" s="38">
        <v>14540</v>
      </c>
      <c r="B7" s="39">
        <v>364.64</v>
      </c>
      <c r="C7" s="39">
        <v>17.64</v>
      </c>
      <c r="D7" s="39">
        <v>347</v>
      </c>
      <c r="E7" s="39">
        <v>0</v>
      </c>
      <c r="F7" s="62">
        <v>347</v>
      </c>
      <c r="G7" t="s">
        <v>400</v>
      </c>
    </row>
    <row r="8" spans="1:7" x14ac:dyDescent="0.25">
      <c r="A8" s="38">
        <v>14541</v>
      </c>
      <c r="B8" s="39">
        <v>361</v>
      </c>
      <c r="C8" s="39">
        <v>0</v>
      </c>
      <c r="D8" s="39">
        <v>361</v>
      </c>
      <c r="E8" s="39">
        <v>7</v>
      </c>
      <c r="F8" s="62">
        <v>361</v>
      </c>
      <c r="G8" t="s">
        <v>400</v>
      </c>
    </row>
    <row r="9" spans="1:7" x14ac:dyDescent="0.25">
      <c r="A9" s="38">
        <v>14542</v>
      </c>
      <c r="B9" s="39">
        <v>147.4</v>
      </c>
      <c r="C9" s="39">
        <v>7.4</v>
      </c>
      <c r="D9" s="39">
        <v>140</v>
      </c>
      <c r="E9" s="39">
        <v>0</v>
      </c>
      <c r="F9" s="62">
        <v>140</v>
      </c>
      <c r="G9" t="s">
        <v>400</v>
      </c>
    </row>
    <row r="10" spans="1:7" x14ac:dyDescent="0.25">
      <c r="A10" s="38">
        <v>14543</v>
      </c>
      <c r="B10" s="39">
        <v>16.88</v>
      </c>
      <c r="C10" s="39">
        <v>0</v>
      </c>
      <c r="D10" s="39">
        <v>16.88</v>
      </c>
      <c r="E10" s="39">
        <v>0</v>
      </c>
      <c r="F10" s="62">
        <v>16.88</v>
      </c>
      <c r="G10" t="s">
        <v>400</v>
      </c>
    </row>
    <row r="11" spans="1:7" x14ac:dyDescent="0.25">
      <c r="A11" s="38">
        <v>14544</v>
      </c>
      <c r="B11" s="39">
        <v>353.64</v>
      </c>
      <c r="C11" s="39">
        <v>17.64</v>
      </c>
      <c r="D11" s="39">
        <v>336</v>
      </c>
      <c r="E11" s="39">
        <v>0</v>
      </c>
      <c r="F11" s="62">
        <v>336</v>
      </c>
      <c r="G11" t="s">
        <v>400</v>
      </c>
    </row>
    <row r="12" spans="1:7" x14ac:dyDescent="0.25">
      <c r="A12" s="38">
        <v>14545</v>
      </c>
      <c r="B12" s="39">
        <v>42.11</v>
      </c>
      <c r="C12" s="39">
        <v>2.11</v>
      </c>
      <c r="D12" s="39">
        <v>40</v>
      </c>
      <c r="E12" s="39">
        <v>0</v>
      </c>
      <c r="F12" s="62">
        <v>40</v>
      </c>
      <c r="G12" t="s">
        <v>400</v>
      </c>
    </row>
    <row r="13" spans="1:7" x14ac:dyDescent="0.25">
      <c r="A13" s="38">
        <v>14546</v>
      </c>
      <c r="B13" s="39">
        <v>168.44</v>
      </c>
      <c r="C13" s="39">
        <v>8.44</v>
      </c>
      <c r="D13" s="39">
        <v>160</v>
      </c>
      <c r="E13" s="39">
        <v>0</v>
      </c>
      <c r="F13" s="62">
        <v>160</v>
      </c>
      <c r="G13" t="s">
        <v>400</v>
      </c>
    </row>
    <row r="14" spans="1:7" x14ac:dyDescent="0.25">
      <c r="A14" s="38">
        <v>14547</v>
      </c>
      <c r="B14" s="39">
        <v>139.5</v>
      </c>
      <c r="C14" s="39">
        <v>0</v>
      </c>
      <c r="D14" s="39">
        <v>139.5</v>
      </c>
      <c r="E14" s="39">
        <v>0</v>
      </c>
      <c r="F14" s="62">
        <v>139.5</v>
      </c>
      <c r="G14" t="s">
        <v>400</v>
      </c>
    </row>
    <row r="15" spans="1:7" x14ac:dyDescent="0.25">
      <c r="A15" s="38">
        <v>14548</v>
      </c>
      <c r="B15" s="39">
        <v>117.92</v>
      </c>
      <c r="C15" s="39">
        <v>5.92</v>
      </c>
      <c r="D15" s="39">
        <v>112</v>
      </c>
      <c r="E15" s="39">
        <v>0</v>
      </c>
      <c r="F15" s="62">
        <v>112</v>
      </c>
      <c r="G15" t="s">
        <v>400</v>
      </c>
    </row>
    <row r="16" spans="1:7" x14ac:dyDescent="0.25">
      <c r="A16" s="38">
        <v>14549</v>
      </c>
      <c r="B16" s="39">
        <v>40</v>
      </c>
      <c r="C16" s="39">
        <v>0</v>
      </c>
      <c r="D16" s="39">
        <v>40</v>
      </c>
      <c r="E16" s="39">
        <v>0</v>
      </c>
      <c r="F16" s="62">
        <v>40</v>
      </c>
      <c r="G16" t="s">
        <v>400</v>
      </c>
    </row>
    <row r="17" spans="1:7" x14ac:dyDescent="0.25">
      <c r="A17" s="38">
        <v>14550</v>
      </c>
      <c r="B17" s="39">
        <v>117.92</v>
      </c>
      <c r="C17" s="39">
        <v>5.92</v>
      </c>
      <c r="D17" s="39">
        <v>112</v>
      </c>
      <c r="E17" s="39">
        <v>0</v>
      </c>
      <c r="F17" s="62">
        <v>112</v>
      </c>
      <c r="G17" t="s">
        <v>400</v>
      </c>
    </row>
    <row r="18" spans="1:7" x14ac:dyDescent="0.25">
      <c r="A18" s="38">
        <v>14551</v>
      </c>
      <c r="B18" s="39">
        <v>109.41</v>
      </c>
      <c r="C18" s="39">
        <v>4.41</v>
      </c>
      <c r="D18" s="39">
        <v>105</v>
      </c>
      <c r="E18" s="39">
        <v>0</v>
      </c>
      <c r="F18" s="62">
        <v>105</v>
      </c>
      <c r="G18" t="s">
        <v>400</v>
      </c>
    </row>
    <row r="19" spans="1:7" x14ac:dyDescent="0.25">
      <c r="A19" s="38">
        <v>14552</v>
      </c>
      <c r="B19" s="39">
        <v>262.74</v>
      </c>
      <c r="C19" s="39">
        <v>0</v>
      </c>
      <c r="D19" s="39">
        <v>262.74</v>
      </c>
      <c r="E19" s="39">
        <v>0</v>
      </c>
      <c r="F19" s="62">
        <v>262.74</v>
      </c>
      <c r="G19" t="s">
        <v>400</v>
      </c>
    </row>
    <row r="20" spans="1:7" x14ac:dyDescent="0.25">
      <c r="A20" s="38">
        <v>14553</v>
      </c>
      <c r="B20" s="39">
        <v>173.35</v>
      </c>
      <c r="C20" s="39">
        <v>7.35</v>
      </c>
      <c r="D20" s="39">
        <v>166</v>
      </c>
      <c r="E20" s="39">
        <v>0</v>
      </c>
      <c r="F20" s="62">
        <v>166</v>
      </c>
      <c r="G20" t="s">
        <v>400</v>
      </c>
    </row>
    <row r="21" spans="1:7" x14ac:dyDescent="0.25">
      <c r="A21" s="38">
        <v>14554</v>
      </c>
      <c r="B21" s="39">
        <v>360.64</v>
      </c>
      <c r="C21" s="39">
        <v>11.64</v>
      </c>
      <c r="D21" s="39">
        <v>349</v>
      </c>
      <c r="E21" s="39">
        <v>0</v>
      </c>
      <c r="F21" s="62">
        <v>349</v>
      </c>
      <c r="G21" t="s">
        <v>400</v>
      </c>
    </row>
    <row r="22" spans="1:7" x14ac:dyDescent="0.25">
      <c r="A22" s="38">
        <v>14555</v>
      </c>
      <c r="B22" s="39">
        <v>120</v>
      </c>
      <c r="C22" s="39">
        <v>6</v>
      </c>
      <c r="D22" s="39">
        <v>114</v>
      </c>
      <c r="E22" s="39">
        <v>0</v>
      </c>
      <c r="F22" s="62">
        <v>114</v>
      </c>
      <c r="G22" t="s">
        <v>400</v>
      </c>
    </row>
    <row r="23" spans="1:7" x14ac:dyDescent="0.25">
      <c r="A23" s="38">
        <v>14556</v>
      </c>
      <c r="B23" s="39">
        <v>383.53</v>
      </c>
      <c r="C23" s="39">
        <v>12.53</v>
      </c>
      <c r="D23" s="39">
        <v>371</v>
      </c>
      <c r="E23" s="39">
        <v>0</v>
      </c>
      <c r="F23" s="62">
        <v>371</v>
      </c>
      <c r="G23" t="s">
        <v>400</v>
      </c>
    </row>
    <row r="24" spans="1:7" x14ac:dyDescent="0.25">
      <c r="A24" s="38">
        <v>14557</v>
      </c>
      <c r="B24" s="39">
        <v>155.35</v>
      </c>
      <c r="C24" s="39">
        <v>7.35</v>
      </c>
      <c r="D24" s="39">
        <v>148</v>
      </c>
      <c r="E24" s="39">
        <v>0</v>
      </c>
      <c r="F24" s="62">
        <v>148</v>
      </c>
      <c r="G24" t="s">
        <v>400</v>
      </c>
    </row>
    <row r="25" spans="1:7" x14ac:dyDescent="0.25">
      <c r="A25" s="38">
        <v>14558</v>
      </c>
      <c r="B25" s="39">
        <v>29.47</v>
      </c>
      <c r="C25" s="39">
        <v>0.97</v>
      </c>
      <c r="D25" s="39">
        <v>28.5</v>
      </c>
      <c r="E25" s="39">
        <v>0</v>
      </c>
      <c r="F25" s="62">
        <v>28.5</v>
      </c>
      <c r="G25" t="s">
        <v>400</v>
      </c>
    </row>
    <row r="26" spans="1:7" x14ac:dyDescent="0.25">
      <c r="A26" s="38">
        <v>14559</v>
      </c>
      <c r="B26" s="39">
        <v>120</v>
      </c>
      <c r="C26" s="39">
        <v>0</v>
      </c>
      <c r="D26" s="39">
        <v>120</v>
      </c>
      <c r="E26" s="39">
        <v>0</v>
      </c>
      <c r="F26" s="62">
        <v>120</v>
      </c>
      <c r="G26" t="s">
        <v>400</v>
      </c>
    </row>
    <row r="27" spans="1:7" x14ac:dyDescent="0.25">
      <c r="A27" s="38">
        <v>14560</v>
      </c>
      <c r="B27" s="39">
        <v>224.55</v>
      </c>
      <c r="C27" s="39">
        <v>10.55</v>
      </c>
      <c r="D27" s="39">
        <v>214</v>
      </c>
      <c r="E27" s="39">
        <v>0</v>
      </c>
      <c r="F27" s="62">
        <v>214</v>
      </c>
      <c r="G27" t="s">
        <v>400</v>
      </c>
    </row>
    <row r="28" spans="1:7" x14ac:dyDescent="0.25">
      <c r="A28" s="38">
        <v>14561</v>
      </c>
      <c r="B28" s="39">
        <v>517.32000000000005</v>
      </c>
      <c r="C28" s="39">
        <v>25.32</v>
      </c>
      <c r="D28" s="39">
        <v>492</v>
      </c>
      <c r="E28" s="39">
        <v>0</v>
      </c>
      <c r="F28" s="62">
        <v>492</v>
      </c>
      <c r="G28" t="s">
        <v>400</v>
      </c>
    </row>
    <row r="29" spans="1:7" x14ac:dyDescent="0.25">
      <c r="A29" s="38">
        <v>14562</v>
      </c>
      <c r="B29" s="39">
        <v>29.47</v>
      </c>
      <c r="C29" s="39">
        <v>1.47</v>
      </c>
      <c r="D29" s="39">
        <v>28</v>
      </c>
      <c r="E29" s="39">
        <v>0</v>
      </c>
      <c r="F29" s="62">
        <v>28</v>
      </c>
      <c r="G29" t="s">
        <v>400</v>
      </c>
    </row>
    <row r="30" spans="1:7" x14ac:dyDescent="0.25">
      <c r="A30" s="38">
        <v>14563</v>
      </c>
      <c r="B30" s="39">
        <v>310.89999999999998</v>
      </c>
      <c r="C30" s="39">
        <v>15.07</v>
      </c>
      <c r="D30" s="39">
        <v>295.83</v>
      </c>
      <c r="E30" s="39">
        <v>0</v>
      </c>
      <c r="F30" s="62">
        <v>295.83</v>
      </c>
      <c r="G30" t="s">
        <v>400</v>
      </c>
    </row>
    <row r="31" spans="1:7" x14ac:dyDescent="0.25">
      <c r="A31" s="38">
        <v>14564</v>
      </c>
      <c r="B31" s="39">
        <v>505.32</v>
      </c>
      <c r="C31" s="39">
        <v>25.32</v>
      </c>
      <c r="D31" s="39">
        <v>480</v>
      </c>
      <c r="E31" s="39">
        <v>0</v>
      </c>
      <c r="F31" s="62">
        <v>480</v>
      </c>
      <c r="G31" t="s">
        <v>400</v>
      </c>
    </row>
    <row r="32" spans="1:7" x14ac:dyDescent="0.25">
      <c r="A32" s="38">
        <v>14565</v>
      </c>
      <c r="B32" s="39">
        <v>20</v>
      </c>
      <c r="C32" s="39">
        <v>0</v>
      </c>
      <c r="D32" s="39">
        <v>20</v>
      </c>
      <c r="E32" s="39">
        <v>0</v>
      </c>
      <c r="F32" s="62">
        <v>20</v>
      </c>
      <c r="G32" t="s">
        <v>400</v>
      </c>
    </row>
    <row r="33" spans="1:7" x14ac:dyDescent="0.25">
      <c r="A33" s="38">
        <v>14566</v>
      </c>
      <c r="B33" s="39">
        <v>631.12</v>
      </c>
      <c r="C33" s="39">
        <v>28.68</v>
      </c>
      <c r="D33" s="39">
        <v>602.44000000000005</v>
      </c>
      <c r="E33" s="39">
        <v>0</v>
      </c>
      <c r="F33" s="62">
        <v>602.44000000000005</v>
      </c>
      <c r="G33" t="s">
        <v>400</v>
      </c>
    </row>
    <row r="34" spans="1:7" x14ac:dyDescent="0.25">
      <c r="A34" s="38">
        <v>14567</v>
      </c>
      <c r="B34" s="39">
        <v>140.33000000000001</v>
      </c>
      <c r="C34" s="39">
        <v>6.33</v>
      </c>
      <c r="D34" s="39">
        <v>134</v>
      </c>
      <c r="E34" s="39">
        <v>0</v>
      </c>
      <c r="F34" s="62">
        <v>134</v>
      </c>
      <c r="G34" t="s">
        <v>400</v>
      </c>
    </row>
    <row r="35" spans="1:7" x14ac:dyDescent="0.25">
      <c r="A35" s="38">
        <v>14568</v>
      </c>
      <c r="B35" s="39">
        <v>285</v>
      </c>
      <c r="C35" s="39">
        <v>15</v>
      </c>
      <c r="D35" s="39">
        <v>270</v>
      </c>
      <c r="E35" s="39">
        <v>0</v>
      </c>
      <c r="F35" s="62">
        <v>270</v>
      </c>
      <c r="G35" t="s">
        <v>400</v>
      </c>
    </row>
    <row r="36" spans="1:7" x14ac:dyDescent="0.25">
      <c r="A36" s="38">
        <v>14570</v>
      </c>
      <c r="B36" s="39">
        <v>30</v>
      </c>
      <c r="C36" s="39">
        <v>0</v>
      </c>
      <c r="D36" s="39">
        <v>30</v>
      </c>
      <c r="E36" s="39">
        <v>0</v>
      </c>
      <c r="F36" s="62">
        <v>30</v>
      </c>
      <c r="G36" t="s">
        <v>400</v>
      </c>
    </row>
    <row r="37" spans="1:7" x14ac:dyDescent="0.25">
      <c r="A37" s="38">
        <v>14571</v>
      </c>
      <c r="B37" s="39">
        <v>2690.64</v>
      </c>
      <c r="C37" s="39">
        <v>68.64</v>
      </c>
      <c r="D37" s="39">
        <v>2622</v>
      </c>
      <c r="E37" s="39">
        <v>0</v>
      </c>
      <c r="F37" s="62">
        <v>2622</v>
      </c>
      <c r="G37" t="s">
        <v>400</v>
      </c>
    </row>
    <row r="38" spans="1:7" x14ac:dyDescent="0.25">
      <c r="A38" s="38">
        <v>14572</v>
      </c>
      <c r="B38" s="39">
        <v>100</v>
      </c>
      <c r="C38" s="39">
        <v>0</v>
      </c>
      <c r="D38" s="39">
        <v>100</v>
      </c>
      <c r="E38" s="39">
        <v>0</v>
      </c>
      <c r="F38" s="62">
        <v>100</v>
      </c>
      <c r="G38" t="s">
        <v>400</v>
      </c>
    </row>
    <row r="39" spans="1:7" x14ac:dyDescent="0.25">
      <c r="A39" s="38">
        <v>14573</v>
      </c>
      <c r="B39" s="39">
        <v>110</v>
      </c>
      <c r="C39" s="39">
        <v>5</v>
      </c>
      <c r="D39" s="39">
        <v>105</v>
      </c>
      <c r="E39" s="39">
        <v>0</v>
      </c>
      <c r="F39" s="62">
        <v>105</v>
      </c>
      <c r="G39" t="s">
        <v>400</v>
      </c>
    </row>
    <row r="40" spans="1:7" x14ac:dyDescent="0.25">
      <c r="A40" s="38">
        <v>14574</v>
      </c>
      <c r="B40" s="39">
        <v>134.5</v>
      </c>
      <c r="C40" s="39">
        <v>6.75</v>
      </c>
      <c r="D40" s="39">
        <v>127.75</v>
      </c>
      <c r="E40" s="39">
        <v>0</v>
      </c>
      <c r="F40" s="62">
        <v>127.75</v>
      </c>
      <c r="G40" t="s">
        <v>400</v>
      </c>
    </row>
    <row r="41" spans="1:7" x14ac:dyDescent="0.25">
      <c r="A41" s="38">
        <v>14575</v>
      </c>
      <c r="B41" s="39">
        <v>1509.9</v>
      </c>
      <c r="C41" s="39">
        <v>0</v>
      </c>
      <c r="D41" s="39">
        <v>1509.9</v>
      </c>
      <c r="E41" s="39">
        <v>0</v>
      </c>
      <c r="F41" s="62">
        <v>1509.9</v>
      </c>
      <c r="G41" t="s">
        <v>400</v>
      </c>
    </row>
    <row r="42" spans="1:7" x14ac:dyDescent="0.25">
      <c r="A42" s="38">
        <v>14576</v>
      </c>
      <c r="B42" s="39">
        <v>586.67999999999995</v>
      </c>
      <c r="C42" s="39">
        <v>0</v>
      </c>
      <c r="D42" s="39">
        <v>586.67999999999995</v>
      </c>
      <c r="E42" s="39">
        <v>0</v>
      </c>
      <c r="F42" s="62">
        <v>586.67999999999995</v>
      </c>
      <c r="G42" t="s">
        <v>400</v>
      </c>
    </row>
    <row r="43" spans="1:7" x14ac:dyDescent="0.25">
      <c r="A43" s="38">
        <v>14577</v>
      </c>
      <c r="B43" s="39">
        <v>136</v>
      </c>
      <c r="C43" s="39">
        <v>6</v>
      </c>
      <c r="D43" s="39">
        <v>130</v>
      </c>
      <c r="E43" s="39">
        <v>0</v>
      </c>
      <c r="F43" s="62">
        <v>130</v>
      </c>
      <c r="G43" t="s">
        <v>400</v>
      </c>
    </row>
    <row r="44" spans="1:7" x14ac:dyDescent="0.25">
      <c r="A44" s="38">
        <v>14578</v>
      </c>
      <c r="B44" s="39">
        <v>251.95</v>
      </c>
      <c r="C44" s="39">
        <v>11.95</v>
      </c>
      <c r="D44" s="39">
        <v>240</v>
      </c>
      <c r="E44" s="39">
        <v>0</v>
      </c>
      <c r="F44" s="62">
        <v>240</v>
      </c>
      <c r="G44" t="s">
        <v>400</v>
      </c>
    </row>
    <row r="45" spans="1:7" x14ac:dyDescent="0.25">
      <c r="A45" s="38">
        <v>14579</v>
      </c>
      <c r="B45" s="39">
        <v>191.56</v>
      </c>
      <c r="C45" s="39">
        <v>9.56</v>
      </c>
      <c r="D45" s="39">
        <v>182</v>
      </c>
      <c r="E45" s="39">
        <v>0</v>
      </c>
      <c r="F45" s="62">
        <v>182</v>
      </c>
      <c r="G45" t="s">
        <v>400</v>
      </c>
    </row>
    <row r="46" spans="1:7" x14ac:dyDescent="0.25">
      <c r="A46" s="38">
        <v>14580</v>
      </c>
      <c r="B46" s="39">
        <v>248.95</v>
      </c>
      <c r="C46" s="39">
        <v>11.95</v>
      </c>
      <c r="D46" s="39">
        <v>237</v>
      </c>
      <c r="E46" s="39">
        <v>0</v>
      </c>
      <c r="F46" s="62">
        <v>237</v>
      </c>
      <c r="G46" t="s">
        <v>400</v>
      </c>
    </row>
    <row r="47" spans="1:7" x14ac:dyDescent="0.25">
      <c r="A47" s="38">
        <v>14581</v>
      </c>
      <c r="B47" s="39">
        <v>196</v>
      </c>
      <c r="C47" s="39">
        <v>7</v>
      </c>
      <c r="D47" s="39">
        <v>189</v>
      </c>
      <c r="E47" s="39">
        <v>0</v>
      </c>
      <c r="F47" s="62">
        <v>189</v>
      </c>
      <c r="G47" t="s">
        <v>400</v>
      </c>
    </row>
    <row r="48" spans="1:7" x14ac:dyDescent="0.25">
      <c r="A48" s="38">
        <v>14582</v>
      </c>
      <c r="B48" s="39">
        <v>207.6</v>
      </c>
      <c r="C48" s="39">
        <v>9.1</v>
      </c>
      <c r="D48" s="39">
        <v>198.5</v>
      </c>
      <c r="E48" s="39">
        <v>0</v>
      </c>
      <c r="F48" s="62">
        <v>198.5</v>
      </c>
      <c r="G48" t="s">
        <v>400</v>
      </c>
    </row>
    <row r="49" spans="1:7" x14ac:dyDescent="0.25">
      <c r="A49" s="38">
        <v>14583</v>
      </c>
      <c r="B49" s="39">
        <v>614.36</v>
      </c>
      <c r="C49" s="39">
        <v>30.36</v>
      </c>
      <c r="D49" s="39">
        <v>584</v>
      </c>
      <c r="E49" s="39">
        <v>0</v>
      </c>
      <c r="F49" s="62">
        <v>584</v>
      </c>
      <c r="G49" t="s">
        <v>400</v>
      </c>
    </row>
    <row r="50" spans="1:7" x14ac:dyDescent="0.25">
      <c r="A50" s="38">
        <v>14584</v>
      </c>
      <c r="B50" s="39">
        <v>517.32000000000005</v>
      </c>
      <c r="C50" s="39">
        <v>0</v>
      </c>
      <c r="D50" s="39">
        <v>517.32000000000005</v>
      </c>
      <c r="E50" s="39">
        <v>0</v>
      </c>
      <c r="F50" s="62">
        <v>517.32000000000005</v>
      </c>
      <c r="G50" t="s">
        <v>400</v>
      </c>
    </row>
    <row r="51" spans="1:7" x14ac:dyDescent="0.25">
      <c r="A51" s="38">
        <v>14585</v>
      </c>
      <c r="B51" s="39">
        <v>586.67999999999995</v>
      </c>
      <c r="C51" s="39">
        <v>28.68</v>
      </c>
      <c r="D51" s="39">
        <v>558</v>
      </c>
      <c r="E51" s="39">
        <v>0</v>
      </c>
      <c r="F51" s="62">
        <v>558</v>
      </c>
      <c r="G51" t="s">
        <v>400</v>
      </c>
    </row>
    <row r="52" spans="1:7" x14ac:dyDescent="0.25">
      <c r="A52" s="38">
        <v>14586</v>
      </c>
      <c r="B52" s="39">
        <v>112</v>
      </c>
      <c r="C52" s="39">
        <v>4</v>
      </c>
      <c r="D52" s="39">
        <v>108</v>
      </c>
      <c r="E52" s="39">
        <v>0</v>
      </c>
      <c r="F52" s="62">
        <v>108</v>
      </c>
      <c r="G52" t="s">
        <v>400</v>
      </c>
    </row>
    <row r="53" spans="1:7" x14ac:dyDescent="0.25">
      <c r="A53" s="38">
        <v>14587</v>
      </c>
      <c r="B53" s="39">
        <v>582.67999999999995</v>
      </c>
      <c r="C53" s="39">
        <v>28.68</v>
      </c>
      <c r="D53" s="39">
        <v>554</v>
      </c>
      <c r="E53" s="39">
        <v>0</v>
      </c>
      <c r="F53" s="62">
        <v>554</v>
      </c>
      <c r="G53" t="s">
        <v>400</v>
      </c>
    </row>
    <row r="54" spans="1:7" x14ac:dyDescent="0.25">
      <c r="A54" s="38">
        <v>14588</v>
      </c>
      <c r="B54" s="39">
        <v>452.72</v>
      </c>
      <c r="C54" s="39">
        <v>0</v>
      </c>
      <c r="D54" s="39">
        <v>452.72</v>
      </c>
      <c r="E54" s="39">
        <v>0</v>
      </c>
      <c r="F54" s="62">
        <v>452.72</v>
      </c>
      <c r="G54" t="s">
        <v>400</v>
      </c>
    </row>
    <row r="55" spans="1:7" x14ac:dyDescent="0.25">
      <c r="A55" s="38">
        <v>14589</v>
      </c>
      <c r="B55" s="39">
        <v>287.33999999999997</v>
      </c>
      <c r="C55" s="39">
        <v>14.34</v>
      </c>
      <c r="D55" s="39">
        <v>273</v>
      </c>
      <c r="E55" s="39">
        <v>0</v>
      </c>
      <c r="F55" s="62">
        <v>273</v>
      </c>
      <c r="G55" t="s">
        <v>400</v>
      </c>
    </row>
    <row r="56" spans="1:7" x14ac:dyDescent="0.25">
      <c r="A56" s="38">
        <v>14590</v>
      </c>
      <c r="B56" s="39">
        <v>257.55</v>
      </c>
      <c r="C56" s="39">
        <v>10.55</v>
      </c>
      <c r="D56" s="39">
        <v>247</v>
      </c>
      <c r="E56" s="39">
        <v>0</v>
      </c>
      <c r="F56" s="62">
        <v>247</v>
      </c>
      <c r="G56" t="s">
        <v>400</v>
      </c>
    </row>
    <row r="57" spans="1:7" x14ac:dyDescent="0.25">
      <c r="A57" s="38">
        <v>14591</v>
      </c>
      <c r="B57" s="39">
        <v>644.65</v>
      </c>
      <c r="C57" s="39">
        <v>31.65</v>
      </c>
      <c r="D57" s="39">
        <v>613</v>
      </c>
      <c r="E57" s="39">
        <v>0</v>
      </c>
      <c r="F57" s="62">
        <v>613</v>
      </c>
      <c r="G57" t="s">
        <v>400</v>
      </c>
    </row>
    <row r="58" spans="1:7" x14ac:dyDescent="0.25">
      <c r="A58" s="38">
        <v>14592</v>
      </c>
      <c r="B58" s="39">
        <v>728.35</v>
      </c>
      <c r="C58" s="39">
        <v>35.85</v>
      </c>
      <c r="D58" s="39">
        <v>692.5</v>
      </c>
      <c r="E58" s="39">
        <v>0</v>
      </c>
      <c r="F58" s="62">
        <v>692.5</v>
      </c>
      <c r="G58" t="s">
        <v>400</v>
      </c>
    </row>
    <row r="59" spans="1:7" x14ac:dyDescent="0.25">
      <c r="A59" s="38">
        <v>14593</v>
      </c>
      <c r="B59" s="39">
        <v>215.77</v>
      </c>
      <c r="C59" s="39">
        <v>12.77</v>
      </c>
      <c r="D59" s="39">
        <v>203</v>
      </c>
      <c r="E59" s="39">
        <v>0</v>
      </c>
      <c r="F59" s="62">
        <v>203</v>
      </c>
      <c r="G59" t="s">
        <v>400</v>
      </c>
    </row>
    <row r="60" spans="1:7" x14ac:dyDescent="0.25">
      <c r="A60" s="38">
        <v>14594</v>
      </c>
      <c r="B60" s="39">
        <v>143.69999999999999</v>
      </c>
      <c r="C60" s="39">
        <v>0.1</v>
      </c>
      <c r="D60" s="39">
        <v>143.6</v>
      </c>
      <c r="E60" s="39">
        <v>0</v>
      </c>
      <c r="F60" s="62">
        <v>143.6</v>
      </c>
      <c r="G60" t="s">
        <v>400</v>
      </c>
    </row>
    <row r="61" spans="1:7" x14ac:dyDescent="0.25">
      <c r="A61" s="38">
        <v>14595</v>
      </c>
      <c r="B61" s="39">
        <v>201.48</v>
      </c>
      <c r="C61" s="39">
        <v>9.48</v>
      </c>
      <c r="D61" s="39">
        <v>192</v>
      </c>
      <c r="E61" s="39">
        <v>0</v>
      </c>
      <c r="F61" s="62">
        <v>192</v>
      </c>
      <c r="G61" t="s">
        <v>400</v>
      </c>
    </row>
    <row r="62" spans="1:7" x14ac:dyDescent="0.25">
      <c r="A62" s="38">
        <v>14596</v>
      </c>
      <c r="B62" s="39">
        <v>88.22</v>
      </c>
      <c r="C62" s="39">
        <v>3</v>
      </c>
      <c r="D62" s="39">
        <v>85.22</v>
      </c>
      <c r="E62" s="39">
        <v>0</v>
      </c>
      <c r="F62" s="62">
        <v>85.22</v>
      </c>
      <c r="G62" t="s">
        <v>400</v>
      </c>
    </row>
    <row r="63" spans="1:7" x14ac:dyDescent="0.25">
      <c r="A63" s="38">
        <v>14597</v>
      </c>
      <c r="B63" s="39">
        <v>94.74</v>
      </c>
      <c r="C63" s="39">
        <v>4.74</v>
      </c>
      <c r="D63" s="39">
        <v>90</v>
      </c>
      <c r="E63" s="39">
        <v>0</v>
      </c>
      <c r="F63" s="62">
        <v>90</v>
      </c>
      <c r="G63" t="s">
        <v>400</v>
      </c>
    </row>
    <row r="64" spans="1:7" x14ac:dyDescent="0.25">
      <c r="A64" s="38">
        <v>14598</v>
      </c>
      <c r="B64" s="39">
        <v>412.96</v>
      </c>
      <c r="C64" s="39">
        <v>0</v>
      </c>
      <c r="D64" s="39">
        <v>412.96</v>
      </c>
      <c r="E64" s="39">
        <v>0</v>
      </c>
      <c r="F64" s="62">
        <v>412.96</v>
      </c>
      <c r="G64" t="s">
        <v>400</v>
      </c>
    </row>
    <row r="65" spans="1:7" x14ac:dyDescent="0.25">
      <c r="A65" s="38">
        <v>14599</v>
      </c>
      <c r="B65" s="39">
        <v>95.78</v>
      </c>
      <c r="C65" s="39">
        <v>4.78</v>
      </c>
      <c r="D65" s="39">
        <v>91</v>
      </c>
      <c r="E65" s="39">
        <v>0</v>
      </c>
      <c r="F65" s="62">
        <v>91</v>
      </c>
      <c r="G65" t="s">
        <v>400</v>
      </c>
    </row>
    <row r="66" spans="1:7" x14ac:dyDescent="0.25">
      <c r="A66" s="38">
        <v>14600</v>
      </c>
      <c r="B66" s="39">
        <v>378.96</v>
      </c>
      <c r="C66" s="39">
        <v>18.96</v>
      </c>
      <c r="D66" s="39">
        <v>360</v>
      </c>
      <c r="E66" s="39">
        <v>0</v>
      </c>
      <c r="F66" s="62">
        <v>360</v>
      </c>
      <c r="G66" t="s">
        <v>400</v>
      </c>
    </row>
    <row r="67" spans="1:7" x14ac:dyDescent="0.25">
      <c r="A67" s="38">
        <v>14601</v>
      </c>
      <c r="B67" s="39">
        <v>113.4</v>
      </c>
      <c r="C67" s="39">
        <v>11.34</v>
      </c>
      <c r="D67" s="39">
        <v>102.06</v>
      </c>
      <c r="E67" s="39">
        <v>0</v>
      </c>
      <c r="F67" s="62">
        <v>102.06</v>
      </c>
      <c r="G67" t="s">
        <v>400</v>
      </c>
    </row>
    <row r="68" spans="1:7" x14ac:dyDescent="0.25">
      <c r="A68" s="38">
        <v>14602</v>
      </c>
      <c r="B68" s="39">
        <v>120</v>
      </c>
      <c r="C68" s="39">
        <v>0</v>
      </c>
      <c r="D68" s="39">
        <v>120</v>
      </c>
      <c r="E68" s="39">
        <v>0</v>
      </c>
      <c r="F68" s="62">
        <v>120</v>
      </c>
      <c r="G68" t="s">
        <v>400</v>
      </c>
    </row>
    <row r="69" spans="1:7" x14ac:dyDescent="0.25">
      <c r="A69" s="38">
        <v>14603</v>
      </c>
      <c r="B69" s="39">
        <v>280</v>
      </c>
      <c r="C69" s="39">
        <v>0</v>
      </c>
      <c r="D69" s="39">
        <v>280</v>
      </c>
      <c r="E69" s="39">
        <v>0</v>
      </c>
      <c r="F69" s="62">
        <v>280</v>
      </c>
      <c r="G69" t="s">
        <v>400</v>
      </c>
    </row>
    <row r="70" spans="1:7" x14ac:dyDescent="0.25">
      <c r="A70" s="38">
        <v>14604</v>
      </c>
      <c r="B70" s="39">
        <v>444.84</v>
      </c>
      <c r="C70" s="39">
        <v>0</v>
      </c>
      <c r="D70" s="39">
        <v>444.84</v>
      </c>
      <c r="E70" s="39">
        <v>0</v>
      </c>
      <c r="F70" s="62">
        <v>444.84</v>
      </c>
      <c r="G70" t="s">
        <v>400</v>
      </c>
    </row>
    <row r="71" spans="1:7" x14ac:dyDescent="0.25">
      <c r="A71" s="38">
        <v>14605</v>
      </c>
      <c r="B71" s="39">
        <v>130.88</v>
      </c>
      <c r="C71" s="39">
        <v>5.88</v>
      </c>
      <c r="D71" s="39">
        <v>125</v>
      </c>
      <c r="E71" s="39">
        <v>0</v>
      </c>
      <c r="F71" s="62">
        <v>125</v>
      </c>
      <c r="G71" t="s">
        <v>400</v>
      </c>
    </row>
    <row r="72" spans="1:7" x14ac:dyDescent="0.25">
      <c r="A72" s="38">
        <v>14606</v>
      </c>
      <c r="B72" s="39">
        <v>144.22</v>
      </c>
      <c r="C72" s="39">
        <v>0</v>
      </c>
      <c r="D72" s="39">
        <v>144.22</v>
      </c>
      <c r="E72" s="39">
        <v>0</v>
      </c>
      <c r="F72" s="62">
        <v>144.22</v>
      </c>
      <c r="G72" t="s">
        <v>400</v>
      </c>
    </row>
    <row r="73" spans="1:7" x14ac:dyDescent="0.25">
      <c r="A73" s="38">
        <v>14607</v>
      </c>
      <c r="B73" s="39">
        <v>76.47</v>
      </c>
      <c r="C73" s="39">
        <v>3.47</v>
      </c>
      <c r="D73" s="39">
        <v>73</v>
      </c>
      <c r="E73" s="39">
        <v>0</v>
      </c>
      <c r="F73" s="62">
        <v>73</v>
      </c>
      <c r="G73" t="s">
        <v>400</v>
      </c>
    </row>
    <row r="74" spans="1:7" x14ac:dyDescent="0.25">
      <c r="A74" s="38">
        <v>14608</v>
      </c>
      <c r="B74" s="39">
        <v>140</v>
      </c>
      <c r="C74" s="39">
        <v>5</v>
      </c>
      <c r="D74" s="39">
        <v>135</v>
      </c>
      <c r="E74" s="39">
        <v>0</v>
      </c>
      <c r="F74" s="62">
        <v>135</v>
      </c>
      <c r="G74" t="s">
        <v>400</v>
      </c>
    </row>
    <row r="75" spans="1:7" x14ac:dyDescent="0.25">
      <c r="A75" s="38">
        <v>14609</v>
      </c>
      <c r="B75" s="39">
        <v>126.35</v>
      </c>
      <c r="C75" s="39">
        <v>6.35</v>
      </c>
      <c r="D75" s="39">
        <v>120</v>
      </c>
      <c r="E75" s="39">
        <v>0</v>
      </c>
      <c r="F75" s="62">
        <v>120</v>
      </c>
      <c r="G75" t="s">
        <v>400</v>
      </c>
    </row>
    <row r="76" spans="1:7" x14ac:dyDescent="0.25">
      <c r="A76" s="38">
        <v>14610</v>
      </c>
      <c r="B76" s="39">
        <v>10</v>
      </c>
      <c r="C76" s="39">
        <v>0</v>
      </c>
      <c r="D76" s="39">
        <v>10</v>
      </c>
      <c r="E76" s="39">
        <v>0</v>
      </c>
      <c r="F76" s="62">
        <v>10</v>
      </c>
      <c r="G76" t="s">
        <v>400</v>
      </c>
    </row>
    <row r="77" spans="1:7" x14ac:dyDescent="0.25">
      <c r="A77" s="38">
        <v>14611</v>
      </c>
      <c r="B77" s="39">
        <v>110</v>
      </c>
      <c r="C77" s="39">
        <v>5.5</v>
      </c>
      <c r="D77" s="39">
        <v>104.5</v>
      </c>
      <c r="E77" s="39">
        <v>0</v>
      </c>
      <c r="F77" s="62">
        <v>104.5</v>
      </c>
      <c r="G77" t="s">
        <v>400</v>
      </c>
    </row>
    <row r="78" spans="1:7" x14ac:dyDescent="0.25">
      <c r="A78" s="38">
        <v>14612</v>
      </c>
      <c r="B78" s="39">
        <v>155.35</v>
      </c>
      <c r="C78" s="39">
        <v>7.35</v>
      </c>
      <c r="D78" s="39">
        <v>148</v>
      </c>
      <c r="E78" s="39">
        <v>0</v>
      </c>
      <c r="F78" s="62">
        <v>148</v>
      </c>
      <c r="G78" t="s">
        <v>400</v>
      </c>
    </row>
    <row r="79" spans="1:7" x14ac:dyDescent="0.25">
      <c r="A79" s="38">
        <v>14613</v>
      </c>
      <c r="B79" s="39">
        <v>125</v>
      </c>
      <c r="C79" s="39">
        <v>2</v>
      </c>
      <c r="D79" s="39">
        <v>123</v>
      </c>
      <c r="E79" s="39">
        <v>0</v>
      </c>
      <c r="F79" s="62">
        <v>123</v>
      </c>
      <c r="G79" t="s">
        <v>400</v>
      </c>
    </row>
    <row r="80" spans="1:7" x14ac:dyDescent="0.25">
      <c r="A80" s="38">
        <v>14614</v>
      </c>
      <c r="B80" s="39">
        <v>191.56</v>
      </c>
      <c r="C80" s="39">
        <v>9.56</v>
      </c>
      <c r="D80" s="39">
        <v>182</v>
      </c>
      <c r="E80" s="39">
        <v>0</v>
      </c>
      <c r="F80" s="62">
        <v>182</v>
      </c>
      <c r="G80" t="s">
        <v>400</v>
      </c>
    </row>
    <row r="81" spans="1:7" x14ac:dyDescent="0.25">
      <c r="A81" s="38">
        <v>14615</v>
      </c>
      <c r="B81" s="39">
        <v>327.92</v>
      </c>
      <c r="C81" s="39">
        <v>0</v>
      </c>
      <c r="D81" s="39">
        <v>327.92</v>
      </c>
      <c r="E81" s="39">
        <v>0</v>
      </c>
      <c r="F81" s="62">
        <v>327.92</v>
      </c>
      <c r="G81" t="s">
        <v>400</v>
      </c>
    </row>
    <row r="82" spans="1:7" x14ac:dyDescent="0.25">
      <c r="A82" s="38">
        <v>14616</v>
      </c>
      <c r="B82" s="39">
        <v>362.64</v>
      </c>
      <c r="C82" s="39">
        <v>17.64</v>
      </c>
      <c r="D82" s="39">
        <v>345</v>
      </c>
      <c r="E82" s="39">
        <v>0</v>
      </c>
      <c r="F82" s="62">
        <v>345</v>
      </c>
      <c r="G82" t="s">
        <v>400</v>
      </c>
    </row>
    <row r="83" spans="1:7" x14ac:dyDescent="0.25">
      <c r="A83" s="38">
        <v>14617</v>
      </c>
      <c r="B83" s="39">
        <v>788.42</v>
      </c>
      <c r="C83" s="39">
        <v>38.92</v>
      </c>
      <c r="D83" s="39">
        <v>749.5</v>
      </c>
      <c r="E83" s="39">
        <v>0</v>
      </c>
      <c r="F83" s="62">
        <v>749.5</v>
      </c>
      <c r="G83" t="s">
        <v>400</v>
      </c>
    </row>
    <row r="84" spans="1:7" x14ac:dyDescent="0.25">
      <c r="A84" s="38">
        <v>14618</v>
      </c>
      <c r="B84" s="39">
        <v>143.88</v>
      </c>
      <c r="C84" s="39">
        <v>5.88</v>
      </c>
      <c r="D84" s="39">
        <v>138</v>
      </c>
      <c r="E84" s="39">
        <v>0</v>
      </c>
      <c r="F84" s="62">
        <v>138</v>
      </c>
      <c r="G84" t="s">
        <v>400</v>
      </c>
    </row>
    <row r="85" spans="1:7" x14ac:dyDescent="0.25">
      <c r="A85" s="38">
        <v>14619</v>
      </c>
      <c r="B85" s="39">
        <v>388.96</v>
      </c>
      <c r="C85" s="39">
        <v>18.96</v>
      </c>
      <c r="D85" s="39">
        <v>370</v>
      </c>
      <c r="E85" s="39">
        <v>0</v>
      </c>
      <c r="F85" s="62">
        <v>370</v>
      </c>
      <c r="G85" t="s">
        <v>400</v>
      </c>
    </row>
    <row r="86" spans="1:7" x14ac:dyDescent="0.25">
      <c r="A86" s="38">
        <v>14620</v>
      </c>
      <c r="B86" s="39">
        <v>187.89</v>
      </c>
      <c r="C86" s="39">
        <v>7.89</v>
      </c>
      <c r="D86" s="39">
        <v>180</v>
      </c>
      <c r="E86" s="39">
        <v>0</v>
      </c>
      <c r="F86" s="62">
        <v>180</v>
      </c>
      <c r="G86" t="s">
        <v>400</v>
      </c>
    </row>
    <row r="87" spans="1:7" x14ac:dyDescent="0.25">
      <c r="A87" s="38">
        <v>14621</v>
      </c>
      <c r="B87" s="39">
        <v>143.66999999999999</v>
      </c>
      <c r="C87" s="39">
        <v>7.17</v>
      </c>
      <c r="D87" s="39">
        <v>136.5</v>
      </c>
      <c r="E87" s="39">
        <v>0</v>
      </c>
      <c r="F87" s="62">
        <v>136.5</v>
      </c>
      <c r="G87" t="s">
        <v>400</v>
      </c>
    </row>
    <row r="88" spans="1:7" x14ac:dyDescent="0.25">
      <c r="A88" s="38">
        <v>14622</v>
      </c>
      <c r="B88" s="39">
        <v>55.89</v>
      </c>
      <c r="C88" s="39">
        <v>2.39</v>
      </c>
      <c r="D88" s="39">
        <v>53.5</v>
      </c>
      <c r="E88" s="39">
        <v>0</v>
      </c>
      <c r="F88" s="62">
        <v>53.5</v>
      </c>
      <c r="G88" t="s">
        <v>400</v>
      </c>
    </row>
    <row r="89" spans="1:7" x14ac:dyDescent="0.25">
      <c r="A89" s="38">
        <v>14623</v>
      </c>
      <c r="B89" s="39">
        <v>527</v>
      </c>
      <c r="C89" s="39">
        <v>0</v>
      </c>
      <c r="D89" s="39">
        <v>527</v>
      </c>
      <c r="E89" s="39">
        <v>0</v>
      </c>
      <c r="F89" s="62">
        <v>527</v>
      </c>
      <c r="G89" t="s">
        <v>400</v>
      </c>
    </row>
    <row r="90" spans="1:7" x14ac:dyDescent="0.25">
      <c r="A90" s="38">
        <v>14625</v>
      </c>
      <c r="B90" s="39">
        <v>197.6</v>
      </c>
      <c r="C90" s="39">
        <v>9.1</v>
      </c>
      <c r="D90" s="39">
        <v>188.5</v>
      </c>
      <c r="E90" s="39">
        <v>0</v>
      </c>
      <c r="F90" s="62">
        <v>188.5</v>
      </c>
      <c r="G90" t="s">
        <v>400</v>
      </c>
    </row>
    <row r="91" spans="1:7" x14ac:dyDescent="0.25">
      <c r="A91" s="38">
        <v>14626</v>
      </c>
      <c r="B91" s="39">
        <v>191.56</v>
      </c>
      <c r="C91" s="39">
        <v>9.56</v>
      </c>
      <c r="D91" s="39">
        <v>182</v>
      </c>
      <c r="E91" s="39">
        <v>0</v>
      </c>
      <c r="F91" s="62">
        <v>182</v>
      </c>
      <c r="G91" t="s">
        <v>400</v>
      </c>
    </row>
    <row r="92" spans="1:7" x14ac:dyDescent="0.25">
      <c r="A92" s="38">
        <v>14627</v>
      </c>
      <c r="B92" s="39">
        <v>126.32</v>
      </c>
      <c r="C92" s="39">
        <v>6.32</v>
      </c>
      <c r="D92" s="39">
        <v>120</v>
      </c>
      <c r="E92" s="39">
        <v>0</v>
      </c>
      <c r="F92" s="62">
        <v>120</v>
      </c>
      <c r="G92" t="s">
        <v>400</v>
      </c>
    </row>
    <row r="93" spans="1:7" x14ac:dyDescent="0.25">
      <c r="A93" s="38">
        <v>14628</v>
      </c>
      <c r="B93" s="39">
        <v>108.7</v>
      </c>
      <c r="C93" s="39">
        <v>0</v>
      </c>
      <c r="D93" s="39">
        <v>108.7</v>
      </c>
      <c r="E93" s="39">
        <v>0</v>
      </c>
      <c r="F93" s="62">
        <v>108.7</v>
      </c>
      <c r="G93" t="s">
        <v>400</v>
      </c>
    </row>
    <row r="94" spans="1:7" x14ac:dyDescent="0.25">
      <c r="A94" s="38">
        <v>14629</v>
      </c>
      <c r="B94" s="39">
        <v>666.88</v>
      </c>
      <c r="C94" s="39">
        <v>32.880000000000003</v>
      </c>
      <c r="D94" s="39">
        <v>634</v>
      </c>
      <c r="E94" s="39">
        <v>0</v>
      </c>
      <c r="F94" s="62">
        <v>634</v>
      </c>
      <c r="G94" t="s">
        <v>400</v>
      </c>
    </row>
    <row r="95" spans="1:7" x14ac:dyDescent="0.25">
      <c r="A95" s="38">
        <v>14630</v>
      </c>
      <c r="B95" s="39">
        <v>1024.6400000000001</v>
      </c>
      <c r="C95" s="39">
        <v>50.64</v>
      </c>
      <c r="D95" s="39">
        <v>974</v>
      </c>
      <c r="E95" s="39">
        <v>0</v>
      </c>
      <c r="F95" s="62">
        <v>974</v>
      </c>
      <c r="G95" t="s">
        <v>400</v>
      </c>
    </row>
    <row r="96" spans="1:7" x14ac:dyDescent="0.25">
      <c r="A96" s="38">
        <v>14631</v>
      </c>
      <c r="B96" s="39">
        <v>297.44</v>
      </c>
      <c r="C96" s="39">
        <v>22.44</v>
      </c>
      <c r="D96" s="39">
        <v>275</v>
      </c>
      <c r="E96" s="39">
        <v>0</v>
      </c>
      <c r="F96" s="62">
        <v>275</v>
      </c>
      <c r="G96" t="s">
        <v>400</v>
      </c>
    </row>
    <row r="97" spans="1:7" x14ac:dyDescent="0.25">
      <c r="A97" s="38">
        <v>14632</v>
      </c>
      <c r="B97" s="39">
        <v>70</v>
      </c>
      <c r="C97" s="39">
        <v>0</v>
      </c>
      <c r="D97" s="39">
        <v>70</v>
      </c>
      <c r="E97" s="39">
        <v>0</v>
      </c>
      <c r="F97" s="62">
        <v>70</v>
      </c>
      <c r="G97" t="s">
        <v>400</v>
      </c>
    </row>
    <row r="98" spans="1:7" x14ac:dyDescent="0.25">
      <c r="A98" s="38">
        <v>14633</v>
      </c>
      <c r="B98" s="39">
        <v>154.4</v>
      </c>
      <c r="C98" s="39">
        <v>4.4000000000000004</v>
      </c>
      <c r="D98" s="39">
        <v>150</v>
      </c>
      <c r="E98" s="39">
        <v>0</v>
      </c>
      <c r="F98" s="62">
        <v>150</v>
      </c>
      <c r="G98" t="s">
        <v>400</v>
      </c>
    </row>
    <row r="99" spans="1:7" x14ac:dyDescent="0.25">
      <c r="A99" s="38">
        <v>14634</v>
      </c>
      <c r="B99" s="39">
        <v>387.96</v>
      </c>
      <c r="C99" s="39">
        <v>0</v>
      </c>
      <c r="D99" s="39">
        <v>387.96</v>
      </c>
      <c r="E99" s="39">
        <v>0</v>
      </c>
      <c r="F99" s="62">
        <v>387.96</v>
      </c>
      <c r="G99" t="s">
        <v>400</v>
      </c>
    </row>
    <row r="100" spans="1:7" x14ac:dyDescent="0.25">
      <c r="A100" s="38">
        <v>14635</v>
      </c>
      <c r="B100" s="39">
        <v>363.2</v>
      </c>
      <c r="C100" s="39">
        <v>18.2</v>
      </c>
      <c r="D100" s="39">
        <v>345</v>
      </c>
      <c r="E100" s="39">
        <v>0</v>
      </c>
      <c r="F100" s="62">
        <v>345</v>
      </c>
      <c r="G100" t="s">
        <v>400</v>
      </c>
    </row>
    <row r="101" spans="1:7" x14ac:dyDescent="0.25">
      <c r="A101" s="38">
        <v>14636</v>
      </c>
      <c r="B101" s="39">
        <v>485.84</v>
      </c>
      <c r="C101" s="39">
        <v>0</v>
      </c>
      <c r="D101" s="39">
        <v>485.84</v>
      </c>
      <c r="E101" s="39">
        <v>0</v>
      </c>
      <c r="F101" s="62">
        <v>485.84</v>
      </c>
      <c r="G101" t="s">
        <v>400</v>
      </c>
    </row>
    <row r="102" spans="1:7" x14ac:dyDescent="0.25">
      <c r="A102" s="38">
        <v>14637</v>
      </c>
      <c r="B102" s="39">
        <v>167.67</v>
      </c>
      <c r="C102" s="39">
        <v>7.67</v>
      </c>
      <c r="D102" s="39">
        <v>160</v>
      </c>
      <c r="E102" s="39">
        <v>0</v>
      </c>
      <c r="F102" s="62">
        <v>160</v>
      </c>
      <c r="G102" t="s">
        <v>400</v>
      </c>
    </row>
    <row r="103" spans="1:7" x14ac:dyDescent="0.25">
      <c r="A103" s="38">
        <v>14638</v>
      </c>
      <c r="B103" s="39">
        <v>284.64</v>
      </c>
      <c r="C103" s="39">
        <v>12.64</v>
      </c>
      <c r="D103" s="39">
        <v>272</v>
      </c>
      <c r="E103" s="39">
        <v>0</v>
      </c>
      <c r="F103" s="62">
        <v>272</v>
      </c>
      <c r="G103" t="s">
        <v>400</v>
      </c>
    </row>
    <row r="104" spans="1:7" x14ac:dyDescent="0.25">
      <c r="A104" s="38">
        <v>14639</v>
      </c>
      <c r="B104" s="39">
        <v>144.4</v>
      </c>
      <c r="C104" s="39">
        <v>4.4000000000000004</v>
      </c>
      <c r="D104" s="39">
        <v>140</v>
      </c>
      <c r="E104" s="39">
        <v>0</v>
      </c>
      <c r="F104" s="62">
        <v>140</v>
      </c>
      <c r="G104" t="s">
        <v>400</v>
      </c>
    </row>
    <row r="105" spans="1:7" x14ac:dyDescent="0.25">
      <c r="A105" s="38">
        <v>14640</v>
      </c>
      <c r="B105" s="39">
        <v>218.07</v>
      </c>
      <c r="C105" s="39">
        <v>11.07</v>
      </c>
      <c r="D105" s="39">
        <v>207</v>
      </c>
      <c r="E105" s="39">
        <v>0</v>
      </c>
      <c r="F105" s="62">
        <v>207</v>
      </c>
      <c r="G105" t="s">
        <v>400</v>
      </c>
    </row>
    <row r="106" spans="1:7" x14ac:dyDescent="0.25">
      <c r="A106" s="38">
        <v>14641</v>
      </c>
      <c r="B106" s="39">
        <v>29.9</v>
      </c>
      <c r="C106" s="39">
        <v>1.4</v>
      </c>
      <c r="D106" s="39">
        <v>28.5</v>
      </c>
      <c r="E106" s="39">
        <v>0</v>
      </c>
      <c r="F106" s="62">
        <v>28.5</v>
      </c>
      <c r="G106" t="s">
        <v>400</v>
      </c>
    </row>
    <row r="107" spans="1:7" x14ac:dyDescent="0.25">
      <c r="A107" s="38">
        <v>14642</v>
      </c>
      <c r="B107" s="39">
        <v>95.78</v>
      </c>
      <c r="C107" s="39">
        <v>0</v>
      </c>
      <c r="D107" s="39">
        <v>95.78</v>
      </c>
      <c r="E107" s="39">
        <v>0</v>
      </c>
      <c r="F107" s="62">
        <v>95.78</v>
      </c>
      <c r="G107" t="s">
        <v>400</v>
      </c>
    </row>
    <row r="108" spans="1:7" x14ac:dyDescent="0.25">
      <c r="A108" s="38">
        <v>14643</v>
      </c>
      <c r="B108" s="39">
        <v>389</v>
      </c>
      <c r="C108" s="39">
        <v>11</v>
      </c>
      <c r="D108" s="39">
        <v>378</v>
      </c>
      <c r="E108" s="39">
        <v>0</v>
      </c>
      <c r="F108" s="62">
        <v>378</v>
      </c>
      <c r="G108" t="s">
        <v>400</v>
      </c>
    </row>
    <row r="109" spans="1:7" x14ac:dyDescent="0.25">
      <c r="A109" s="38">
        <v>14644</v>
      </c>
      <c r="B109" s="39">
        <v>653.70000000000005</v>
      </c>
      <c r="C109" s="39">
        <v>23.7</v>
      </c>
      <c r="D109" s="39">
        <v>630</v>
      </c>
      <c r="E109" s="39">
        <v>0</v>
      </c>
      <c r="F109" s="62">
        <v>630</v>
      </c>
      <c r="G109" t="s">
        <v>400</v>
      </c>
    </row>
    <row r="110" spans="1:7" x14ac:dyDescent="0.25">
      <c r="A110" s="38">
        <v>14645</v>
      </c>
      <c r="B110" s="39">
        <v>541.34</v>
      </c>
      <c r="C110" s="39">
        <v>0</v>
      </c>
      <c r="D110" s="39">
        <v>541.34</v>
      </c>
      <c r="E110" s="39">
        <v>0</v>
      </c>
      <c r="F110" s="62">
        <v>541.34</v>
      </c>
      <c r="G110" t="s">
        <v>400</v>
      </c>
    </row>
    <row r="111" spans="1:7" x14ac:dyDescent="0.25">
      <c r="A111" s="38">
        <v>14646</v>
      </c>
      <c r="B111" s="39">
        <v>191.56</v>
      </c>
      <c r="C111" s="39">
        <v>0</v>
      </c>
      <c r="D111" s="39">
        <v>191.56</v>
      </c>
      <c r="E111" s="39">
        <v>0</v>
      </c>
      <c r="F111" s="62">
        <v>191.56</v>
      </c>
      <c r="G111" t="s">
        <v>400</v>
      </c>
    </row>
    <row r="112" spans="1:7" x14ac:dyDescent="0.25">
      <c r="A112" s="38">
        <v>14647</v>
      </c>
      <c r="B112" s="39">
        <v>104.41</v>
      </c>
      <c r="C112" s="39">
        <v>4.41</v>
      </c>
      <c r="D112" s="39">
        <v>100</v>
      </c>
      <c r="E112" s="39">
        <v>0</v>
      </c>
      <c r="F112" s="62">
        <v>100</v>
      </c>
      <c r="G112" t="s">
        <v>400</v>
      </c>
    </row>
    <row r="113" spans="1:8" x14ac:dyDescent="0.25">
      <c r="A113" s="38">
        <v>14648</v>
      </c>
      <c r="B113" s="39">
        <v>211.56</v>
      </c>
      <c r="C113" s="39">
        <v>9.56</v>
      </c>
      <c r="D113" s="39">
        <v>202</v>
      </c>
      <c r="E113" s="39">
        <v>0</v>
      </c>
      <c r="F113" s="62">
        <v>202</v>
      </c>
      <c r="G113" t="s">
        <v>400</v>
      </c>
    </row>
    <row r="114" spans="1:8" x14ac:dyDescent="0.25">
      <c r="A114" s="38">
        <v>14649</v>
      </c>
      <c r="B114" s="39">
        <v>58.94</v>
      </c>
      <c r="C114" s="39">
        <v>2.94</v>
      </c>
      <c r="D114" s="39">
        <v>56</v>
      </c>
      <c r="E114" s="39">
        <v>0</v>
      </c>
      <c r="F114" s="62">
        <v>56</v>
      </c>
      <c r="G114" t="s">
        <v>400</v>
      </c>
    </row>
    <row r="115" spans="1:8" x14ac:dyDescent="0.25">
      <c r="A115" s="38">
        <v>14650</v>
      </c>
      <c r="B115" s="39">
        <v>143.66999999999999</v>
      </c>
      <c r="C115" s="39">
        <v>8.67</v>
      </c>
      <c r="D115" s="39">
        <v>135</v>
      </c>
      <c r="E115" s="39">
        <v>0</v>
      </c>
      <c r="F115" s="62">
        <v>135</v>
      </c>
      <c r="G115" t="s">
        <v>400</v>
      </c>
    </row>
    <row r="116" spans="1:8" x14ac:dyDescent="0.25">
      <c r="A116" s="38">
        <v>14651</v>
      </c>
      <c r="B116" s="39">
        <v>20</v>
      </c>
      <c r="C116" s="39">
        <v>0</v>
      </c>
      <c r="D116" s="39">
        <v>20</v>
      </c>
      <c r="E116" s="39">
        <v>0</v>
      </c>
      <c r="F116" s="62">
        <v>20</v>
      </c>
      <c r="G116" t="s">
        <v>400</v>
      </c>
    </row>
    <row r="117" spans="1:8" x14ac:dyDescent="0.25">
      <c r="A117" s="38">
        <v>14652</v>
      </c>
      <c r="B117" s="39">
        <v>304.7</v>
      </c>
      <c r="C117" s="39">
        <v>14.7</v>
      </c>
      <c r="D117" s="39">
        <v>290</v>
      </c>
      <c r="E117" s="39">
        <v>0</v>
      </c>
      <c r="F117" s="62">
        <v>290</v>
      </c>
      <c r="G117" t="s">
        <v>400</v>
      </c>
    </row>
    <row r="118" spans="1:8" x14ac:dyDescent="0.25">
      <c r="A118" s="38">
        <v>14653</v>
      </c>
      <c r="B118" s="39">
        <v>81.08</v>
      </c>
      <c r="C118" s="39">
        <v>0</v>
      </c>
      <c r="D118" s="39">
        <v>81.08</v>
      </c>
      <c r="E118" s="39">
        <v>0</v>
      </c>
      <c r="F118" s="62">
        <v>81.08</v>
      </c>
      <c r="G118" t="s">
        <v>400</v>
      </c>
    </row>
    <row r="119" spans="1:8" x14ac:dyDescent="0.25">
      <c r="A119" s="38">
        <v>14654</v>
      </c>
      <c r="B119" s="39">
        <v>143.66999999999999</v>
      </c>
      <c r="C119" s="39">
        <v>7.17</v>
      </c>
      <c r="D119" s="39">
        <v>136.5</v>
      </c>
      <c r="E119" s="39">
        <v>0</v>
      </c>
      <c r="F119" s="62">
        <v>136.5</v>
      </c>
      <c r="G119" t="s">
        <v>400</v>
      </c>
    </row>
    <row r="120" spans="1:8" x14ac:dyDescent="0.25">
      <c r="A120" s="38">
        <v>14655</v>
      </c>
      <c r="B120" s="39">
        <v>148.4</v>
      </c>
      <c r="C120" s="39">
        <v>7.22</v>
      </c>
      <c r="D120" s="39">
        <v>141.18</v>
      </c>
      <c r="E120" s="39">
        <v>0</v>
      </c>
      <c r="F120" s="62">
        <v>141.18</v>
      </c>
      <c r="G120" t="s">
        <v>400</v>
      </c>
    </row>
    <row r="121" spans="1:8" x14ac:dyDescent="0.25">
      <c r="A121" s="38">
        <v>14656</v>
      </c>
      <c r="B121" s="39">
        <v>363.64</v>
      </c>
      <c r="C121" s="39">
        <v>17.64</v>
      </c>
      <c r="D121" s="39">
        <v>346</v>
      </c>
      <c r="E121" s="39">
        <v>0</v>
      </c>
      <c r="F121" s="62">
        <v>346</v>
      </c>
      <c r="G121" t="s">
        <v>400</v>
      </c>
    </row>
    <row r="122" spans="1:8" x14ac:dyDescent="0.25">
      <c r="A122" s="38">
        <v>14657</v>
      </c>
      <c r="B122" s="39">
        <v>110</v>
      </c>
      <c r="C122" s="39">
        <v>0</v>
      </c>
      <c r="D122" s="39">
        <v>110</v>
      </c>
      <c r="E122" s="39">
        <v>0</v>
      </c>
      <c r="F122" s="62">
        <v>110</v>
      </c>
      <c r="G122" t="s">
        <v>400</v>
      </c>
    </row>
    <row r="123" spans="1:8" x14ac:dyDescent="0.25">
      <c r="A123" s="38">
        <v>14658</v>
      </c>
      <c r="B123" s="39">
        <v>239.45</v>
      </c>
      <c r="C123" s="39">
        <v>11.95</v>
      </c>
      <c r="D123" s="39">
        <v>227.5</v>
      </c>
      <c r="E123" s="39">
        <v>0</v>
      </c>
      <c r="F123" s="62">
        <v>227.5</v>
      </c>
      <c r="G123" t="s">
        <v>400</v>
      </c>
    </row>
    <row r="124" spans="1:8" x14ac:dyDescent="0.25">
      <c r="A124" s="38">
        <v>14659</v>
      </c>
      <c r="B124" s="39">
        <v>111.78</v>
      </c>
      <c r="C124" s="39">
        <v>4.78</v>
      </c>
      <c r="D124" s="39">
        <v>107</v>
      </c>
      <c r="E124" s="39">
        <v>0</v>
      </c>
      <c r="F124" s="62">
        <v>107</v>
      </c>
      <c r="G124" t="s">
        <v>400</v>
      </c>
    </row>
    <row r="125" spans="1:8" x14ac:dyDescent="0.25">
      <c r="A125" s="38">
        <v>14660</v>
      </c>
      <c r="B125" s="39">
        <v>126.32</v>
      </c>
      <c r="C125" s="39">
        <v>6.32</v>
      </c>
      <c r="D125" s="39">
        <v>120</v>
      </c>
      <c r="E125" s="39">
        <v>0</v>
      </c>
      <c r="F125" s="62">
        <v>137</v>
      </c>
      <c r="G125" t="s">
        <v>401</v>
      </c>
      <c r="H125" t="s">
        <v>415</v>
      </c>
    </row>
    <row r="126" spans="1:8" x14ac:dyDescent="0.25">
      <c r="A126" s="38">
        <v>14661</v>
      </c>
      <c r="B126" s="39">
        <v>361</v>
      </c>
      <c r="C126" s="39">
        <v>0</v>
      </c>
      <c r="D126" s="39">
        <v>361</v>
      </c>
      <c r="E126" s="39">
        <v>7</v>
      </c>
      <c r="F126" s="62">
        <v>361</v>
      </c>
      <c r="G126" t="s">
        <v>400</v>
      </c>
    </row>
    <row r="127" spans="1:8" x14ac:dyDescent="0.25">
      <c r="A127" s="38">
        <v>14662</v>
      </c>
      <c r="B127" s="39">
        <v>765.92</v>
      </c>
      <c r="C127" s="39">
        <v>37.92</v>
      </c>
      <c r="D127" s="39">
        <v>728</v>
      </c>
      <c r="E127" s="39">
        <v>0</v>
      </c>
      <c r="F127" s="62">
        <v>728</v>
      </c>
      <c r="G127" t="s">
        <v>400</v>
      </c>
    </row>
    <row r="128" spans="1:8" x14ac:dyDescent="0.25">
      <c r="A128" s="38">
        <v>14663</v>
      </c>
      <c r="B128" s="39">
        <v>328.4</v>
      </c>
      <c r="C128" s="39">
        <v>0</v>
      </c>
      <c r="D128" s="39">
        <v>328.4</v>
      </c>
      <c r="E128" s="39">
        <v>0</v>
      </c>
      <c r="F128" s="62">
        <v>328.4</v>
      </c>
      <c r="G128" t="s">
        <v>400</v>
      </c>
    </row>
    <row r="129" spans="1:7" x14ac:dyDescent="0.25">
      <c r="A129" s="38">
        <v>14664</v>
      </c>
      <c r="B129" s="39">
        <v>191.56</v>
      </c>
      <c r="C129" s="39">
        <v>9.56</v>
      </c>
      <c r="D129" s="39">
        <v>182</v>
      </c>
      <c r="E129" s="39">
        <v>0</v>
      </c>
      <c r="F129" s="62">
        <v>182</v>
      </c>
      <c r="G129" t="s">
        <v>400</v>
      </c>
    </row>
    <row r="130" spans="1:7" x14ac:dyDescent="0.25">
      <c r="A130" s="38">
        <v>14665</v>
      </c>
      <c r="B130" s="39">
        <v>126.32</v>
      </c>
      <c r="C130" s="39">
        <v>6.32</v>
      </c>
      <c r="D130" s="39">
        <v>120</v>
      </c>
      <c r="E130" s="39">
        <v>0</v>
      </c>
      <c r="F130" s="62">
        <v>120</v>
      </c>
      <c r="G130" t="s">
        <v>400</v>
      </c>
    </row>
    <row r="131" spans="1:7" x14ac:dyDescent="0.25">
      <c r="A131" s="38">
        <v>14666</v>
      </c>
      <c r="B131" s="39">
        <v>108.41</v>
      </c>
      <c r="C131" s="39">
        <v>3.41</v>
      </c>
      <c r="D131" s="39">
        <v>105</v>
      </c>
      <c r="E131" s="39">
        <v>0</v>
      </c>
      <c r="F131" s="62">
        <v>105</v>
      </c>
      <c r="G131" t="s">
        <v>400</v>
      </c>
    </row>
    <row r="132" spans="1:7" x14ac:dyDescent="0.25">
      <c r="A132" s="38">
        <v>14667</v>
      </c>
      <c r="B132" s="39">
        <v>651.12</v>
      </c>
      <c r="C132" s="39">
        <v>28.68</v>
      </c>
      <c r="D132" s="39">
        <v>622.44000000000005</v>
      </c>
      <c r="E132" s="39">
        <v>0</v>
      </c>
      <c r="F132" s="62">
        <v>622.44000000000005</v>
      </c>
      <c r="G132" t="s">
        <v>400</v>
      </c>
    </row>
    <row r="133" spans="1:7" x14ac:dyDescent="0.25">
      <c r="A133" s="38">
        <v>14668</v>
      </c>
      <c r="B133" s="39">
        <v>229.16</v>
      </c>
      <c r="C133" s="39">
        <v>7.16</v>
      </c>
      <c r="D133" s="39">
        <v>222</v>
      </c>
      <c r="E133" s="39">
        <v>0</v>
      </c>
      <c r="F133" s="62">
        <v>222</v>
      </c>
      <c r="G133" t="s">
        <v>400</v>
      </c>
    </row>
    <row r="134" spans="1:7" x14ac:dyDescent="0.25">
      <c r="A134" s="38">
        <v>14669</v>
      </c>
      <c r="B134" s="39">
        <v>108.7</v>
      </c>
      <c r="C134" s="39">
        <v>0</v>
      </c>
      <c r="D134" s="39">
        <v>108.7</v>
      </c>
      <c r="E134" s="39">
        <v>0</v>
      </c>
      <c r="F134" s="62">
        <v>108.7</v>
      </c>
      <c r="G134" t="s">
        <v>400</v>
      </c>
    </row>
    <row r="135" spans="1:7" x14ac:dyDescent="0.25">
      <c r="A135" s="38">
        <v>14670</v>
      </c>
      <c r="B135" s="39">
        <v>190.82</v>
      </c>
      <c r="C135" s="39">
        <v>8.82</v>
      </c>
      <c r="D135" s="39">
        <v>182</v>
      </c>
      <c r="E135" s="39">
        <v>0</v>
      </c>
      <c r="F135" s="62">
        <v>182</v>
      </c>
      <c r="G135" t="s">
        <v>400</v>
      </c>
    </row>
    <row r="136" spans="1:7" x14ac:dyDescent="0.25">
      <c r="A136" s="38">
        <v>14671</v>
      </c>
      <c r="B136" s="39">
        <v>82.1</v>
      </c>
      <c r="C136" s="39">
        <v>0</v>
      </c>
      <c r="D136" s="39">
        <v>82.1</v>
      </c>
      <c r="E136" s="39">
        <v>0</v>
      </c>
      <c r="F136" s="62">
        <v>82.1</v>
      </c>
      <c r="G136" t="s">
        <v>400</v>
      </c>
    </row>
    <row r="137" spans="1:7" x14ac:dyDescent="0.25">
      <c r="A137" s="38">
        <v>14672</v>
      </c>
      <c r="B137" s="39">
        <v>575.52</v>
      </c>
      <c r="C137" s="39">
        <v>0</v>
      </c>
      <c r="D137" s="39">
        <v>575.52</v>
      </c>
      <c r="E137" s="39">
        <v>0</v>
      </c>
      <c r="F137" s="62">
        <v>575.52</v>
      </c>
      <c r="G137" t="s">
        <v>400</v>
      </c>
    </row>
    <row r="138" spans="1:7" x14ac:dyDescent="0.25">
      <c r="A138" s="38">
        <v>14673</v>
      </c>
      <c r="B138" s="39">
        <v>1304.4000000000001</v>
      </c>
      <c r="C138" s="39">
        <v>128.4</v>
      </c>
      <c r="D138" s="39">
        <v>1176</v>
      </c>
      <c r="E138" s="39">
        <v>0</v>
      </c>
      <c r="F138" s="62">
        <v>1176</v>
      </c>
      <c r="G138" t="s">
        <v>400</v>
      </c>
    </row>
    <row r="139" spans="1:7" x14ac:dyDescent="0.25">
      <c r="A139" s="38">
        <v>14674</v>
      </c>
      <c r="B139" s="39">
        <v>545.32000000000005</v>
      </c>
      <c r="C139" s="39">
        <v>25.32</v>
      </c>
      <c r="D139" s="39">
        <v>520</v>
      </c>
      <c r="E139" s="39">
        <v>0</v>
      </c>
      <c r="F139" s="62">
        <v>520</v>
      </c>
      <c r="G139" t="s">
        <v>400</v>
      </c>
    </row>
    <row r="140" spans="1:7" x14ac:dyDescent="0.25">
      <c r="A140" s="38">
        <v>14675</v>
      </c>
      <c r="B140" s="39">
        <v>347.23</v>
      </c>
      <c r="C140" s="39">
        <v>16.73</v>
      </c>
      <c r="D140" s="39">
        <v>330.5</v>
      </c>
      <c r="E140" s="39">
        <v>0</v>
      </c>
      <c r="F140" s="62">
        <v>330.5</v>
      </c>
      <c r="G140" t="s">
        <v>400</v>
      </c>
    </row>
    <row r="141" spans="1:7" x14ac:dyDescent="0.25">
      <c r="A141" s="38">
        <v>14676</v>
      </c>
      <c r="B141" s="39">
        <v>126.33</v>
      </c>
      <c r="C141" s="39">
        <v>6.33</v>
      </c>
      <c r="D141" s="39">
        <v>120</v>
      </c>
      <c r="E141" s="39">
        <v>0</v>
      </c>
      <c r="F141" s="62">
        <v>120</v>
      </c>
      <c r="G141" t="s">
        <v>400</v>
      </c>
    </row>
    <row r="142" spans="1:7" x14ac:dyDescent="0.25">
      <c r="A142" s="38">
        <v>14677</v>
      </c>
      <c r="B142" s="39">
        <v>232.92</v>
      </c>
      <c r="C142" s="39">
        <v>10.92</v>
      </c>
      <c r="D142" s="39">
        <v>222</v>
      </c>
      <c r="E142" s="39">
        <v>0</v>
      </c>
      <c r="F142" s="62">
        <v>222</v>
      </c>
      <c r="G142" t="s">
        <v>400</v>
      </c>
    </row>
    <row r="143" spans="1:7" x14ac:dyDescent="0.25">
      <c r="A143" s="38">
        <v>14678</v>
      </c>
      <c r="B143" s="39">
        <v>370.52</v>
      </c>
      <c r="C143" s="39">
        <v>18.52</v>
      </c>
      <c r="D143" s="39">
        <v>352</v>
      </c>
      <c r="E143" s="39">
        <v>0</v>
      </c>
      <c r="F143" s="62">
        <v>352</v>
      </c>
      <c r="G143" t="s">
        <v>400</v>
      </c>
    </row>
    <row r="144" spans="1:7" x14ac:dyDescent="0.25">
      <c r="A144" s="38">
        <v>14679</v>
      </c>
      <c r="B144" s="39">
        <v>239.45</v>
      </c>
      <c r="C144" s="39">
        <v>11.95</v>
      </c>
      <c r="D144" s="39">
        <v>227.5</v>
      </c>
      <c r="E144" s="39">
        <v>0</v>
      </c>
      <c r="F144" s="62">
        <v>227.5</v>
      </c>
      <c r="G144" t="s">
        <v>400</v>
      </c>
    </row>
    <row r="145" spans="1:7" x14ac:dyDescent="0.25">
      <c r="A145" s="38">
        <v>14680</v>
      </c>
      <c r="B145" s="39">
        <v>606.67999999999995</v>
      </c>
      <c r="C145" s="39">
        <v>0</v>
      </c>
      <c r="D145" s="39">
        <v>606.67999999999995</v>
      </c>
      <c r="E145" s="39">
        <v>0</v>
      </c>
      <c r="F145" s="62">
        <v>606.67999999999995</v>
      </c>
      <c r="G145" t="s">
        <v>400</v>
      </c>
    </row>
    <row r="146" spans="1:7" x14ac:dyDescent="0.25">
      <c r="A146" s="38">
        <v>14681</v>
      </c>
      <c r="B146" s="39">
        <v>104.74</v>
      </c>
      <c r="C146" s="39">
        <v>4.74</v>
      </c>
      <c r="D146" s="39">
        <v>100</v>
      </c>
      <c r="E146" s="39">
        <v>0</v>
      </c>
      <c r="F146" s="62">
        <v>100</v>
      </c>
      <c r="G146" t="s">
        <v>400</v>
      </c>
    </row>
    <row r="147" spans="1:7" x14ac:dyDescent="0.25">
      <c r="A147" s="38">
        <v>14682</v>
      </c>
      <c r="B147" s="39">
        <v>21.1</v>
      </c>
      <c r="C147" s="39">
        <v>1.1000000000000001</v>
      </c>
      <c r="D147" s="39">
        <v>20</v>
      </c>
      <c r="E147" s="39">
        <v>0</v>
      </c>
      <c r="F147" s="62">
        <v>20</v>
      </c>
      <c r="G147" t="s">
        <v>400</v>
      </c>
    </row>
    <row r="148" spans="1:7" x14ac:dyDescent="0.25">
      <c r="A148" s="38">
        <v>14683</v>
      </c>
      <c r="B148" s="39">
        <v>435.84</v>
      </c>
      <c r="C148" s="39">
        <v>0</v>
      </c>
      <c r="D148" s="39">
        <v>435.84</v>
      </c>
      <c r="E148" s="39">
        <v>0</v>
      </c>
      <c r="F148" s="62">
        <v>435.84</v>
      </c>
      <c r="G148" t="s">
        <v>400</v>
      </c>
    </row>
    <row r="149" spans="1:7" x14ac:dyDescent="0.25">
      <c r="A149" s="38">
        <v>14684</v>
      </c>
      <c r="B149" s="39">
        <v>360.64</v>
      </c>
      <c r="C149" s="39">
        <v>11.64</v>
      </c>
      <c r="D149" s="39">
        <v>349</v>
      </c>
      <c r="E149" s="39">
        <v>0</v>
      </c>
      <c r="F149" s="62">
        <v>349</v>
      </c>
      <c r="G149" t="s">
        <v>400</v>
      </c>
    </row>
    <row r="150" spans="1:7" x14ac:dyDescent="0.25">
      <c r="A150" s="38">
        <v>14685</v>
      </c>
      <c r="B150" s="39">
        <v>587.67999999999995</v>
      </c>
      <c r="C150" s="39">
        <v>28.68</v>
      </c>
      <c r="D150" s="39">
        <v>559</v>
      </c>
      <c r="E150" s="39">
        <v>0</v>
      </c>
      <c r="F150" s="62">
        <v>559</v>
      </c>
      <c r="G150" t="s">
        <v>400</v>
      </c>
    </row>
    <row r="151" spans="1:7" x14ac:dyDescent="0.25">
      <c r="A151" s="38">
        <v>14686</v>
      </c>
      <c r="B151" s="39">
        <v>110.9</v>
      </c>
      <c r="C151" s="39">
        <v>4.9000000000000004</v>
      </c>
      <c r="D151" s="39">
        <v>106</v>
      </c>
      <c r="E151" s="39">
        <v>0</v>
      </c>
      <c r="F151" s="62">
        <v>106</v>
      </c>
      <c r="G151" t="s">
        <v>400</v>
      </c>
    </row>
    <row r="152" spans="1:7" x14ac:dyDescent="0.25">
      <c r="A152" s="38">
        <v>14687</v>
      </c>
      <c r="B152" s="39">
        <v>614.36</v>
      </c>
      <c r="C152" s="39">
        <v>30.36</v>
      </c>
      <c r="D152" s="39">
        <v>584</v>
      </c>
      <c r="E152" s="39">
        <v>0</v>
      </c>
      <c r="F152" s="62">
        <v>584</v>
      </c>
      <c r="G152" t="s">
        <v>400</v>
      </c>
    </row>
    <row r="153" spans="1:7" x14ac:dyDescent="0.25">
      <c r="A153" s="38">
        <v>14688</v>
      </c>
      <c r="B153" s="39">
        <v>50</v>
      </c>
      <c r="C153" s="39">
        <v>0</v>
      </c>
      <c r="D153" s="39">
        <v>50</v>
      </c>
      <c r="E153" s="39">
        <v>0</v>
      </c>
      <c r="F153" s="62">
        <v>50</v>
      </c>
      <c r="G153" t="s">
        <v>400</v>
      </c>
    </row>
    <row r="154" spans="1:7" x14ac:dyDescent="0.25">
      <c r="A154" s="38">
        <v>14689</v>
      </c>
      <c r="B154" s="39">
        <v>189.48</v>
      </c>
      <c r="C154" s="39">
        <v>9.48</v>
      </c>
      <c r="D154" s="39">
        <v>180</v>
      </c>
      <c r="E154" s="39">
        <v>0</v>
      </c>
      <c r="F154" s="62">
        <v>180</v>
      </c>
      <c r="G154" t="s">
        <v>400</v>
      </c>
    </row>
    <row r="155" spans="1:7" x14ac:dyDescent="0.25">
      <c r="A155" s="38">
        <v>14690</v>
      </c>
      <c r="B155" s="39">
        <v>104.41</v>
      </c>
      <c r="C155" s="39">
        <v>4.41</v>
      </c>
      <c r="D155" s="39">
        <v>100</v>
      </c>
      <c r="E155" s="39">
        <v>0</v>
      </c>
      <c r="F155" s="62">
        <v>100</v>
      </c>
      <c r="G155" t="s">
        <v>400</v>
      </c>
    </row>
    <row r="156" spans="1:7" x14ac:dyDescent="0.25">
      <c r="A156" s="38">
        <v>14691</v>
      </c>
      <c r="B156" s="39">
        <v>119.9</v>
      </c>
      <c r="C156" s="39">
        <v>4.9000000000000004</v>
      </c>
      <c r="D156" s="39">
        <v>115</v>
      </c>
      <c r="E156" s="39">
        <v>0</v>
      </c>
      <c r="F156" s="62">
        <v>115</v>
      </c>
      <c r="G156" t="s">
        <v>400</v>
      </c>
    </row>
    <row r="157" spans="1:7" x14ac:dyDescent="0.25">
      <c r="A157" s="38">
        <v>14692</v>
      </c>
      <c r="B157" s="39">
        <v>378.96</v>
      </c>
      <c r="C157" s="39">
        <v>0</v>
      </c>
      <c r="D157" s="39">
        <v>378.96</v>
      </c>
      <c r="E157" s="39">
        <v>0</v>
      </c>
      <c r="F157" s="62">
        <v>378.96</v>
      </c>
      <c r="G157" t="s">
        <v>400</v>
      </c>
    </row>
    <row r="158" spans="1:7" x14ac:dyDescent="0.25">
      <c r="A158" s="38">
        <v>14693</v>
      </c>
      <c r="B158" s="39">
        <v>191.56</v>
      </c>
      <c r="C158" s="39">
        <v>9.56</v>
      </c>
      <c r="D158" s="39">
        <v>182</v>
      </c>
      <c r="E158" s="39">
        <v>0</v>
      </c>
      <c r="F158" s="62">
        <v>182</v>
      </c>
      <c r="G158" t="s">
        <v>400</v>
      </c>
    </row>
    <row r="159" spans="1:7" x14ac:dyDescent="0.25">
      <c r="A159" s="38">
        <v>14694</v>
      </c>
      <c r="B159" s="39">
        <v>545.32000000000005</v>
      </c>
      <c r="C159" s="39">
        <v>25.32</v>
      </c>
      <c r="D159" s="39">
        <v>520</v>
      </c>
      <c r="E159" s="39">
        <v>0</v>
      </c>
      <c r="F159" s="62">
        <v>520</v>
      </c>
      <c r="G159" t="s">
        <v>400</v>
      </c>
    </row>
    <row r="160" spans="1:7" x14ac:dyDescent="0.25">
      <c r="A160" s="38">
        <v>14695</v>
      </c>
      <c r="B160" s="39">
        <v>353.64</v>
      </c>
      <c r="C160" s="39">
        <v>17.64</v>
      </c>
      <c r="D160" s="39">
        <v>336</v>
      </c>
      <c r="E160" s="39">
        <v>0</v>
      </c>
      <c r="F160" s="62">
        <v>336</v>
      </c>
      <c r="G160" t="s">
        <v>400</v>
      </c>
    </row>
    <row r="161" spans="1:7" x14ac:dyDescent="0.25">
      <c r="A161" s="38">
        <v>14696</v>
      </c>
      <c r="B161" s="39">
        <v>648.65</v>
      </c>
      <c r="C161" s="39">
        <v>0</v>
      </c>
      <c r="D161" s="39">
        <v>648.65</v>
      </c>
      <c r="E161" s="39">
        <v>0</v>
      </c>
      <c r="F161" s="62">
        <v>648.65</v>
      </c>
      <c r="G161" t="s">
        <v>400</v>
      </c>
    </row>
    <row r="162" spans="1:7" x14ac:dyDescent="0.25">
      <c r="A162" s="38">
        <v>14697</v>
      </c>
      <c r="B162" s="39">
        <v>104.22</v>
      </c>
      <c r="C162" s="39">
        <v>4.22</v>
      </c>
      <c r="D162" s="39">
        <v>100</v>
      </c>
      <c r="E162" s="39">
        <v>0</v>
      </c>
      <c r="F162" s="62">
        <v>100</v>
      </c>
      <c r="G162" t="s">
        <v>400</v>
      </c>
    </row>
    <row r="163" spans="1:7" x14ac:dyDescent="0.25">
      <c r="A163" s="38">
        <v>14698</v>
      </c>
      <c r="B163" s="39">
        <v>347.67</v>
      </c>
      <c r="C163" s="39">
        <v>16.100000000000001</v>
      </c>
      <c r="D163" s="39">
        <v>331.57</v>
      </c>
      <c r="E163" s="39">
        <v>0</v>
      </c>
      <c r="F163" s="62">
        <v>331.57</v>
      </c>
      <c r="G163" t="s">
        <v>400</v>
      </c>
    </row>
    <row r="164" spans="1:7" x14ac:dyDescent="0.25">
      <c r="A164" s="38">
        <v>14699</v>
      </c>
      <c r="B164" s="39">
        <v>574.67999999999995</v>
      </c>
      <c r="C164" s="39">
        <v>0</v>
      </c>
      <c r="D164" s="39">
        <v>574.67999999999995</v>
      </c>
      <c r="E164" s="39">
        <v>0</v>
      </c>
      <c r="F164" s="62">
        <v>574.67999999999995</v>
      </c>
      <c r="G164" t="s">
        <v>400</v>
      </c>
    </row>
    <row r="165" spans="1:7" x14ac:dyDescent="0.25">
      <c r="A165" s="38">
        <v>14700</v>
      </c>
      <c r="B165" s="39">
        <v>389.96</v>
      </c>
      <c r="C165" s="39">
        <v>0</v>
      </c>
      <c r="D165" s="39">
        <v>389.96</v>
      </c>
      <c r="E165" s="39">
        <v>0</v>
      </c>
      <c r="F165" s="62">
        <v>389.96</v>
      </c>
      <c r="G165" t="s">
        <v>400</v>
      </c>
    </row>
    <row r="166" spans="1:7" x14ac:dyDescent="0.25">
      <c r="A166" s="38">
        <v>14701</v>
      </c>
      <c r="B166" s="39">
        <v>188.82</v>
      </c>
      <c r="C166" s="39">
        <v>8.82</v>
      </c>
      <c r="D166" s="39">
        <v>180</v>
      </c>
      <c r="E166" s="39">
        <v>0</v>
      </c>
      <c r="F166" s="62">
        <v>180</v>
      </c>
      <c r="G166" t="s">
        <v>400</v>
      </c>
    </row>
    <row r="167" spans="1:7" x14ac:dyDescent="0.25">
      <c r="A167" s="38">
        <v>14702</v>
      </c>
      <c r="B167" s="39">
        <v>143.66999999999999</v>
      </c>
      <c r="C167" s="39">
        <v>8.67</v>
      </c>
      <c r="D167" s="39">
        <v>135</v>
      </c>
      <c r="E167" s="39">
        <v>0</v>
      </c>
      <c r="F167" s="62">
        <v>135</v>
      </c>
      <c r="G167" t="s">
        <v>400</v>
      </c>
    </row>
    <row r="168" spans="1:7" x14ac:dyDescent="0.25">
      <c r="A168" s="38">
        <v>14703</v>
      </c>
      <c r="B168" s="39">
        <v>139</v>
      </c>
      <c r="C168" s="39">
        <v>7</v>
      </c>
      <c r="D168" s="39">
        <v>132</v>
      </c>
      <c r="E168" s="39">
        <v>0</v>
      </c>
      <c r="F168" s="62">
        <v>132</v>
      </c>
      <c r="G168" t="s">
        <v>400</v>
      </c>
    </row>
    <row r="169" spans="1:7" x14ac:dyDescent="0.25">
      <c r="A169" s="38">
        <v>14704</v>
      </c>
      <c r="B169" s="39">
        <v>8.44</v>
      </c>
      <c r="C169" s="39">
        <v>0</v>
      </c>
      <c r="D169" s="39">
        <v>8.44</v>
      </c>
      <c r="E169" s="39">
        <v>0</v>
      </c>
      <c r="F169" s="62">
        <v>8.44</v>
      </c>
      <c r="G169" t="s">
        <v>400</v>
      </c>
    </row>
    <row r="170" spans="1:7" x14ac:dyDescent="0.25">
      <c r="A170" s="38">
        <v>14705</v>
      </c>
      <c r="B170" s="39">
        <v>171.6</v>
      </c>
      <c r="C170" s="39">
        <v>0</v>
      </c>
      <c r="D170" s="39">
        <v>171.6</v>
      </c>
      <c r="E170" s="39">
        <v>0</v>
      </c>
      <c r="F170" s="62">
        <v>171.6</v>
      </c>
      <c r="G170" t="s">
        <v>400</v>
      </c>
    </row>
    <row r="171" spans="1:7" x14ac:dyDescent="0.25">
      <c r="A171" s="38">
        <v>14706</v>
      </c>
      <c r="B171" s="39">
        <v>9.9</v>
      </c>
      <c r="C171" s="39">
        <v>0</v>
      </c>
      <c r="D171" s="39">
        <v>9.9</v>
      </c>
      <c r="E171" s="39">
        <v>0</v>
      </c>
      <c r="F171" s="62">
        <v>9.9</v>
      </c>
      <c r="G171" t="s">
        <v>400</v>
      </c>
    </row>
    <row r="172" spans="1:7" x14ac:dyDescent="0.25">
      <c r="A172" s="38">
        <v>14707</v>
      </c>
      <c r="B172" s="39">
        <v>80</v>
      </c>
      <c r="C172" s="39">
        <v>4</v>
      </c>
      <c r="D172" s="39">
        <v>76</v>
      </c>
      <c r="E172" s="39">
        <v>0</v>
      </c>
      <c r="F172" s="62">
        <v>76</v>
      </c>
      <c r="G172" t="s">
        <v>400</v>
      </c>
    </row>
    <row r="173" spans="1:7" x14ac:dyDescent="0.25">
      <c r="A173" s="38">
        <v>14708</v>
      </c>
      <c r="B173" s="39">
        <v>580.67999999999995</v>
      </c>
      <c r="C173" s="39">
        <v>28.68</v>
      </c>
      <c r="D173" s="39">
        <v>552</v>
      </c>
      <c r="E173" s="39">
        <v>0</v>
      </c>
      <c r="F173" s="62">
        <v>552</v>
      </c>
      <c r="G173" t="s">
        <v>400</v>
      </c>
    </row>
    <row r="174" spans="1:7" x14ac:dyDescent="0.25">
      <c r="A174" s="38">
        <v>14709</v>
      </c>
      <c r="B174" s="39">
        <v>110</v>
      </c>
      <c r="C174" s="39">
        <v>5.5</v>
      </c>
      <c r="D174" s="39">
        <v>104.5</v>
      </c>
      <c r="E174" s="39">
        <v>0</v>
      </c>
      <c r="F174" s="62">
        <v>104.5</v>
      </c>
      <c r="G174" t="s">
        <v>400</v>
      </c>
    </row>
    <row r="175" spans="1:7" x14ac:dyDescent="0.25">
      <c r="A175" s="38">
        <v>14710</v>
      </c>
      <c r="B175" s="39">
        <v>134.32</v>
      </c>
      <c r="C175" s="39">
        <v>6.32</v>
      </c>
      <c r="D175" s="39">
        <v>128</v>
      </c>
      <c r="E175" s="39">
        <v>0</v>
      </c>
      <c r="F175" s="62">
        <v>128</v>
      </c>
      <c r="G175" t="s">
        <v>400</v>
      </c>
    </row>
    <row r="176" spans="1:7" x14ac:dyDescent="0.25">
      <c r="A176" s="38">
        <v>14711</v>
      </c>
      <c r="B176" s="39">
        <v>198</v>
      </c>
      <c r="C176" s="39">
        <v>10</v>
      </c>
      <c r="D176" s="39">
        <v>188</v>
      </c>
      <c r="E176" s="39">
        <v>0</v>
      </c>
      <c r="F176" s="62">
        <v>188</v>
      </c>
      <c r="G176" t="s">
        <v>400</v>
      </c>
    </row>
    <row r="177" spans="1:8" x14ac:dyDescent="0.25">
      <c r="A177" s="38">
        <v>14712</v>
      </c>
      <c r="B177" s="39">
        <v>601.34</v>
      </c>
      <c r="C177" s="39">
        <v>29.34</v>
      </c>
      <c r="D177" s="39">
        <v>572</v>
      </c>
      <c r="E177" s="39">
        <v>0</v>
      </c>
      <c r="F177" s="62">
        <v>572</v>
      </c>
      <c r="G177" t="s">
        <v>400</v>
      </c>
    </row>
    <row r="178" spans="1:8" x14ac:dyDescent="0.25">
      <c r="A178" s="38">
        <v>14713</v>
      </c>
      <c r="B178" s="39">
        <v>304.7</v>
      </c>
      <c r="C178" s="39">
        <v>14.7</v>
      </c>
      <c r="D178" s="39">
        <v>290</v>
      </c>
      <c r="E178" s="39">
        <v>0</v>
      </c>
      <c r="F178" s="62">
        <v>290</v>
      </c>
      <c r="G178" t="s">
        <v>400</v>
      </c>
    </row>
    <row r="179" spans="1:8" x14ac:dyDescent="0.25">
      <c r="A179" s="38">
        <v>14714</v>
      </c>
      <c r="B179" s="39">
        <v>34.5</v>
      </c>
      <c r="C179" s="39">
        <v>0</v>
      </c>
      <c r="D179" s="39">
        <v>34.5</v>
      </c>
      <c r="E179" s="39">
        <v>0</v>
      </c>
      <c r="F179" s="62">
        <v>34.5</v>
      </c>
      <c r="G179" t="s">
        <v>400</v>
      </c>
    </row>
    <row r="180" spans="1:8" x14ac:dyDescent="0.25">
      <c r="A180" s="38">
        <v>14715</v>
      </c>
      <c r="B180" s="39">
        <v>108.41</v>
      </c>
      <c r="C180" s="39">
        <v>4.41</v>
      </c>
      <c r="D180" s="39">
        <v>104</v>
      </c>
      <c r="E180" s="39">
        <v>0</v>
      </c>
      <c r="F180" s="62">
        <v>104</v>
      </c>
      <c r="G180" t="s">
        <v>400</v>
      </c>
    </row>
    <row r="181" spans="1:8" x14ac:dyDescent="0.25">
      <c r="A181" s="38">
        <v>14716</v>
      </c>
      <c r="B181" s="39">
        <v>728.92</v>
      </c>
      <c r="C181" s="39">
        <v>35.92</v>
      </c>
      <c r="D181" s="39">
        <v>693</v>
      </c>
      <c r="E181" s="39">
        <v>0</v>
      </c>
      <c r="F181" s="62">
        <v>693</v>
      </c>
      <c r="G181" t="s">
        <v>400</v>
      </c>
    </row>
    <row r="182" spans="1:8" x14ac:dyDescent="0.25">
      <c r="A182" s="38">
        <v>14717</v>
      </c>
      <c r="B182" s="39">
        <v>367.23</v>
      </c>
      <c r="C182" s="39">
        <v>16.73</v>
      </c>
      <c r="D182" s="39">
        <v>350.5</v>
      </c>
      <c r="E182" s="39">
        <v>0</v>
      </c>
      <c r="F182" s="62">
        <v>350.5</v>
      </c>
      <c r="G182" t="s">
        <v>400</v>
      </c>
    </row>
    <row r="183" spans="1:8" x14ac:dyDescent="0.25">
      <c r="A183" s="38">
        <v>14718</v>
      </c>
      <c r="B183" s="39">
        <v>408.96</v>
      </c>
      <c r="C183" s="39">
        <v>18.96</v>
      </c>
      <c r="D183" s="39">
        <v>390</v>
      </c>
      <c r="E183" s="39">
        <v>0</v>
      </c>
      <c r="F183" s="62">
        <v>390</v>
      </c>
      <c r="G183" t="s">
        <v>400</v>
      </c>
    </row>
    <row r="184" spans="1:8" x14ac:dyDescent="0.25">
      <c r="A184" s="38">
        <v>14719</v>
      </c>
      <c r="B184" s="39">
        <v>56</v>
      </c>
      <c r="C184" s="39">
        <v>3</v>
      </c>
      <c r="D184" s="39">
        <v>53</v>
      </c>
      <c r="E184" s="39">
        <v>0</v>
      </c>
      <c r="F184" s="62">
        <v>53</v>
      </c>
      <c r="G184" t="s">
        <v>400</v>
      </c>
    </row>
    <row r="185" spans="1:8" x14ac:dyDescent="0.25">
      <c r="A185" s="38">
        <v>14720</v>
      </c>
      <c r="B185" s="39">
        <v>235.92</v>
      </c>
      <c r="C185" s="39">
        <v>10.92</v>
      </c>
      <c r="D185" s="39">
        <v>225</v>
      </c>
      <c r="E185" s="39">
        <v>0</v>
      </c>
      <c r="F185" s="62">
        <v>225</v>
      </c>
      <c r="G185" t="s">
        <v>400</v>
      </c>
    </row>
    <row r="186" spans="1:8" x14ac:dyDescent="0.25">
      <c r="A186" s="38">
        <v>14721</v>
      </c>
      <c r="B186" s="39">
        <v>191.82</v>
      </c>
      <c r="C186" s="39">
        <v>8.82</v>
      </c>
      <c r="D186" s="39">
        <v>183</v>
      </c>
      <c r="E186" s="39">
        <v>0</v>
      </c>
      <c r="F186" s="62">
        <v>183</v>
      </c>
      <c r="G186" t="s">
        <v>400</v>
      </c>
    </row>
    <row r="187" spans="1:8" x14ac:dyDescent="0.25">
      <c r="A187" s="38">
        <v>14722</v>
      </c>
      <c r="B187" s="39">
        <v>690</v>
      </c>
      <c r="C187" s="39">
        <v>28.68</v>
      </c>
      <c r="D187" s="39">
        <v>661.32</v>
      </c>
      <c r="E187" s="39">
        <v>0</v>
      </c>
      <c r="F187" s="62">
        <v>661.32</v>
      </c>
      <c r="G187" t="s">
        <v>400</v>
      </c>
    </row>
    <row r="188" spans="1:8" x14ac:dyDescent="0.25">
      <c r="A188" s="38">
        <v>14723</v>
      </c>
      <c r="B188" s="39">
        <v>58.94</v>
      </c>
      <c r="C188" s="39">
        <v>2.94</v>
      </c>
      <c r="D188" s="39">
        <v>56</v>
      </c>
      <c r="E188" s="39">
        <v>0</v>
      </c>
      <c r="F188" s="62">
        <v>69</v>
      </c>
      <c r="G188" t="s">
        <v>401</v>
      </c>
      <c r="H188" t="s">
        <v>416</v>
      </c>
    </row>
    <row r="189" spans="1:8" x14ac:dyDescent="0.25">
      <c r="A189" s="38">
        <v>14724</v>
      </c>
      <c r="B189" s="39">
        <v>145.28</v>
      </c>
      <c r="C189" s="39">
        <v>7.28</v>
      </c>
      <c r="D189" s="39">
        <v>138</v>
      </c>
      <c r="E189" s="39">
        <v>0</v>
      </c>
      <c r="F189" s="62">
        <v>138</v>
      </c>
      <c r="G189" t="s">
        <v>400</v>
      </c>
    </row>
    <row r="190" spans="1:8" x14ac:dyDescent="0.25">
      <c r="A190" s="38">
        <v>14725</v>
      </c>
      <c r="B190" s="39">
        <v>52</v>
      </c>
      <c r="C190" s="39">
        <v>0</v>
      </c>
      <c r="D190" s="39">
        <v>52</v>
      </c>
      <c r="E190" s="39">
        <v>0</v>
      </c>
      <c r="F190" s="62">
        <v>52</v>
      </c>
      <c r="G190" t="s">
        <v>400</v>
      </c>
    </row>
    <row r="191" spans="1:8" x14ac:dyDescent="0.25">
      <c r="A191" s="38">
        <v>14726</v>
      </c>
      <c r="B191" s="39">
        <v>99.99</v>
      </c>
      <c r="C191" s="39">
        <v>4.99</v>
      </c>
      <c r="D191" s="39">
        <v>95</v>
      </c>
      <c r="E191" s="39">
        <v>0</v>
      </c>
      <c r="F191" s="62">
        <v>95</v>
      </c>
      <c r="G191" t="s">
        <v>400</v>
      </c>
    </row>
    <row r="192" spans="1:8" x14ac:dyDescent="0.25">
      <c r="A192" s="38">
        <v>14727</v>
      </c>
      <c r="B192" s="39">
        <v>435.84</v>
      </c>
      <c r="C192" s="39">
        <v>0</v>
      </c>
      <c r="D192" s="39">
        <v>435.84</v>
      </c>
      <c r="E192" s="39">
        <v>0</v>
      </c>
      <c r="F192" s="62">
        <v>435.84</v>
      </c>
      <c r="G192" t="s">
        <v>400</v>
      </c>
    </row>
    <row r="193" spans="1:11" x14ac:dyDescent="0.25">
      <c r="A193" s="38">
        <v>14728</v>
      </c>
      <c r="B193" s="39">
        <v>1680</v>
      </c>
      <c r="C193" s="39">
        <v>42.86</v>
      </c>
      <c r="D193" s="39">
        <v>1637.14</v>
      </c>
      <c r="E193" s="39">
        <v>0</v>
      </c>
      <c r="F193" s="62">
        <v>1637.14</v>
      </c>
      <c r="G193" t="s">
        <v>400</v>
      </c>
    </row>
    <row r="194" spans="1:11" x14ac:dyDescent="0.25">
      <c r="A194" s="38">
        <v>14729</v>
      </c>
      <c r="B194" s="39">
        <v>287.33999999999997</v>
      </c>
      <c r="C194" s="39">
        <v>14.34</v>
      </c>
      <c r="D194" s="39">
        <v>273</v>
      </c>
      <c r="E194" s="39">
        <v>0</v>
      </c>
      <c r="F194" s="62">
        <v>273</v>
      </c>
      <c r="G194" t="s">
        <v>400</v>
      </c>
    </row>
    <row r="195" spans="1:11" x14ac:dyDescent="0.25">
      <c r="A195" s="38">
        <v>14730</v>
      </c>
      <c r="B195" s="39">
        <v>581.67999999999995</v>
      </c>
      <c r="C195" s="39">
        <v>28.68</v>
      </c>
      <c r="D195" s="39">
        <v>553</v>
      </c>
      <c r="E195" s="39">
        <v>0</v>
      </c>
      <c r="F195" s="62">
        <v>553</v>
      </c>
      <c r="G195" t="s">
        <v>400</v>
      </c>
    </row>
    <row r="196" spans="1:11" x14ac:dyDescent="0.25">
      <c r="A196" s="38">
        <v>14731</v>
      </c>
      <c r="B196" s="39">
        <v>220.55</v>
      </c>
      <c r="C196" s="39">
        <v>10.55</v>
      </c>
      <c r="D196" s="39">
        <v>210</v>
      </c>
      <c r="E196" s="39">
        <v>0</v>
      </c>
      <c r="F196" s="62">
        <v>210</v>
      </c>
      <c r="G196" t="s">
        <v>400</v>
      </c>
    </row>
    <row r="197" spans="1:11" x14ac:dyDescent="0.25">
      <c r="A197" s="38">
        <v>14732</v>
      </c>
      <c r="B197" s="39">
        <v>221.1</v>
      </c>
      <c r="C197" s="39">
        <v>11.1</v>
      </c>
      <c r="D197" s="39">
        <v>210</v>
      </c>
      <c r="E197" s="39">
        <v>0</v>
      </c>
      <c r="F197" s="62">
        <v>210</v>
      </c>
      <c r="G197" t="s">
        <v>400</v>
      </c>
    </row>
    <row r="198" spans="1:11" x14ac:dyDescent="0.25">
      <c r="A198" s="38">
        <v>14733</v>
      </c>
      <c r="B198" s="39">
        <v>361</v>
      </c>
      <c r="C198" s="39">
        <v>0</v>
      </c>
      <c r="D198" s="39">
        <v>361</v>
      </c>
      <c r="E198" s="39">
        <v>7</v>
      </c>
      <c r="F198" s="62">
        <v>361</v>
      </c>
      <c r="G198" t="s">
        <v>400</v>
      </c>
    </row>
    <row r="199" spans="1:11" x14ac:dyDescent="0.25">
      <c r="A199" s="38">
        <v>14734</v>
      </c>
      <c r="B199" s="39">
        <v>435.84</v>
      </c>
      <c r="C199" s="39">
        <v>0</v>
      </c>
      <c r="D199" s="39">
        <v>435.84</v>
      </c>
      <c r="E199" s="39">
        <v>0</v>
      </c>
      <c r="F199" s="62">
        <v>435.84</v>
      </c>
      <c r="G199" t="s">
        <v>400</v>
      </c>
    </row>
    <row r="200" spans="1:11" x14ac:dyDescent="0.25">
      <c r="A200" s="38">
        <v>4875</v>
      </c>
      <c r="B200" s="39">
        <v>2049</v>
      </c>
      <c r="C200" s="39">
        <v>0</v>
      </c>
      <c r="D200" s="39">
        <v>2049</v>
      </c>
      <c r="E200" s="39">
        <v>0</v>
      </c>
      <c r="F200" s="62">
        <v>2049</v>
      </c>
      <c r="G200" t="s">
        <v>400</v>
      </c>
    </row>
    <row r="201" spans="1:11" x14ac:dyDescent="0.25">
      <c r="A201" s="38">
        <v>4876</v>
      </c>
      <c r="B201" s="39">
        <v>2651.15</v>
      </c>
      <c r="C201" s="39">
        <v>0</v>
      </c>
      <c r="D201" s="39">
        <v>2651.15</v>
      </c>
      <c r="E201" s="39">
        <v>0</v>
      </c>
      <c r="F201" s="62" t="e">
        <v>#N/A</v>
      </c>
      <c r="G201" t="e">
        <v>#N/A</v>
      </c>
      <c r="H201" t="s">
        <v>412</v>
      </c>
    </row>
    <row r="202" spans="1:11" x14ac:dyDescent="0.25">
      <c r="A202" s="38">
        <v>4877</v>
      </c>
      <c r="B202" s="39">
        <v>500</v>
      </c>
      <c r="C202" s="39">
        <v>0</v>
      </c>
      <c r="D202" s="39">
        <v>500</v>
      </c>
      <c r="E202" s="39">
        <v>0</v>
      </c>
      <c r="F202" s="62">
        <v>500</v>
      </c>
      <c r="G202" t="s">
        <v>400</v>
      </c>
    </row>
    <row r="203" spans="1:11" x14ac:dyDescent="0.25">
      <c r="A203" s="38">
        <v>4878</v>
      </c>
      <c r="B203" s="39">
        <v>975</v>
      </c>
      <c r="C203" s="39">
        <v>0</v>
      </c>
      <c r="D203" s="39">
        <v>975</v>
      </c>
      <c r="E203" s="39">
        <v>0</v>
      </c>
      <c r="F203" s="62">
        <v>975</v>
      </c>
      <c r="G203" t="s">
        <v>400</v>
      </c>
    </row>
    <row r="204" spans="1:11" x14ac:dyDescent="0.25">
      <c r="A204" s="38">
        <v>4879</v>
      </c>
      <c r="B204" s="39">
        <v>1223.5700000000002</v>
      </c>
      <c r="C204" s="39">
        <v>0</v>
      </c>
      <c r="D204" s="39">
        <v>1223.5700000000002</v>
      </c>
      <c r="E204" s="39">
        <v>30</v>
      </c>
      <c r="F204" s="62">
        <v>1223.57</v>
      </c>
      <c r="G204" t="s">
        <v>400</v>
      </c>
      <c r="H204" s="20"/>
      <c r="I204" s="20"/>
      <c r="J204" s="20"/>
      <c r="K204" s="20"/>
    </row>
    <row r="205" spans="1:11" x14ac:dyDescent="0.25">
      <c r="A205" s="38">
        <v>4880</v>
      </c>
      <c r="B205" s="39">
        <v>1020.82</v>
      </c>
      <c r="C205" s="39">
        <v>0</v>
      </c>
      <c r="D205" s="39">
        <v>1020.82</v>
      </c>
      <c r="E205" s="39">
        <v>40</v>
      </c>
      <c r="F205" s="62">
        <v>1020.82</v>
      </c>
      <c r="G205" t="s">
        <v>400</v>
      </c>
      <c r="H205" s="20"/>
      <c r="I205" s="20"/>
      <c r="J205" s="20"/>
      <c r="K205" s="20"/>
    </row>
    <row r="206" spans="1:11" x14ac:dyDescent="0.25">
      <c r="A206" s="38">
        <v>4881</v>
      </c>
      <c r="B206" s="39">
        <v>806.92000000000007</v>
      </c>
      <c r="C206" s="39">
        <v>0</v>
      </c>
      <c r="D206" s="39">
        <v>806.92000000000007</v>
      </c>
      <c r="E206" s="39">
        <v>40</v>
      </c>
      <c r="F206" s="62">
        <v>806.92</v>
      </c>
      <c r="G206" t="s">
        <v>400</v>
      </c>
      <c r="H206" s="20"/>
      <c r="I206" s="20"/>
      <c r="J206" s="20"/>
      <c r="K206" s="20"/>
    </row>
    <row r="207" spans="1:11" x14ac:dyDescent="0.25">
      <c r="A207" s="38">
        <v>4882</v>
      </c>
      <c r="B207" s="39">
        <v>343</v>
      </c>
      <c r="C207" s="39">
        <v>0</v>
      </c>
      <c r="D207" s="39">
        <v>343</v>
      </c>
      <c r="E207" s="39">
        <v>30</v>
      </c>
      <c r="F207" s="62">
        <v>343</v>
      </c>
      <c r="G207" t="s">
        <v>400</v>
      </c>
    </row>
    <row r="208" spans="1:11" x14ac:dyDescent="0.25">
      <c r="A208" s="38">
        <v>4883</v>
      </c>
      <c r="B208" s="39">
        <v>2893.6</v>
      </c>
      <c r="C208" s="39">
        <v>0</v>
      </c>
      <c r="D208" s="39">
        <v>2893.6</v>
      </c>
      <c r="E208" s="39">
        <v>0</v>
      </c>
      <c r="F208" s="62">
        <v>2893.6</v>
      </c>
      <c r="G208" t="s">
        <v>400</v>
      </c>
    </row>
    <row r="209" spans="1:11" x14ac:dyDescent="0.25">
      <c r="A209" s="38">
        <v>4884</v>
      </c>
      <c r="B209" s="39">
        <v>716</v>
      </c>
      <c r="C209" s="39">
        <v>0</v>
      </c>
      <c r="D209" s="39">
        <v>716</v>
      </c>
      <c r="E209" s="39">
        <v>0</v>
      </c>
      <c r="F209" s="62">
        <v>716</v>
      </c>
      <c r="G209" t="s">
        <v>400</v>
      </c>
    </row>
    <row r="210" spans="1:11" x14ac:dyDescent="0.25">
      <c r="A210" s="38">
        <v>4885</v>
      </c>
      <c r="B210" s="39">
        <v>2770</v>
      </c>
      <c r="C210" s="39">
        <v>0</v>
      </c>
      <c r="D210" s="39">
        <v>2770</v>
      </c>
      <c r="E210" s="39">
        <v>0</v>
      </c>
      <c r="F210" s="62">
        <v>2770</v>
      </c>
      <c r="G210" t="s">
        <v>400</v>
      </c>
    </row>
    <row r="211" spans="1:11" x14ac:dyDescent="0.25">
      <c r="A211" s="38">
        <v>4886</v>
      </c>
      <c r="B211" s="39">
        <v>1030.8</v>
      </c>
      <c r="C211" s="39">
        <v>0</v>
      </c>
      <c r="D211" s="39">
        <v>1030.8</v>
      </c>
      <c r="E211" s="39">
        <v>0</v>
      </c>
      <c r="F211" s="62">
        <v>1030.8</v>
      </c>
      <c r="G211" t="s">
        <v>400</v>
      </c>
    </row>
    <row r="212" spans="1:11" x14ac:dyDescent="0.25">
      <c r="A212" s="38">
        <v>4887</v>
      </c>
      <c r="B212" s="39">
        <v>23425.5</v>
      </c>
      <c r="C212" s="39">
        <v>0</v>
      </c>
      <c r="D212" s="39">
        <v>23425.5</v>
      </c>
      <c r="E212" s="39">
        <v>0</v>
      </c>
      <c r="F212" s="62">
        <v>23425.5</v>
      </c>
      <c r="G212" t="s">
        <v>400</v>
      </c>
    </row>
    <row r="213" spans="1:11" x14ac:dyDescent="0.25">
      <c r="A213" s="38">
        <v>4888</v>
      </c>
      <c r="B213" s="39">
        <v>1811.15</v>
      </c>
      <c r="C213" s="39">
        <v>0</v>
      </c>
      <c r="D213" s="39">
        <v>1811.15</v>
      </c>
      <c r="E213" s="39">
        <v>0</v>
      </c>
      <c r="F213" s="62" t="e">
        <v>#N/A</v>
      </c>
      <c r="G213" t="e">
        <v>#N/A</v>
      </c>
      <c r="H213" t="s">
        <v>413</v>
      </c>
    </row>
    <row r="214" spans="1:11" x14ac:dyDescent="0.25">
      <c r="A214" s="38">
        <v>4889</v>
      </c>
      <c r="B214" s="39">
        <v>1479.36</v>
      </c>
      <c r="C214" s="39">
        <v>57.6</v>
      </c>
      <c r="D214" s="39">
        <v>1421.76</v>
      </c>
      <c r="E214" s="39">
        <v>0</v>
      </c>
      <c r="F214" s="62" t="e">
        <v>#N/A</v>
      </c>
      <c r="G214" t="e">
        <v>#N/A</v>
      </c>
      <c r="H214" t="s">
        <v>414</v>
      </c>
    </row>
    <row r="215" spans="1:11" x14ac:dyDescent="0.25">
      <c r="A215" s="38">
        <v>4890</v>
      </c>
      <c r="B215" s="39">
        <v>9582.01</v>
      </c>
      <c r="C215" s="39">
        <v>0</v>
      </c>
      <c r="D215" s="39">
        <v>9582.01</v>
      </c>
      <c r="E215" s="39">
        <v>0</v>
      </c>
      <c r="F215" s="62">
        <v>9582.01</v>
      </c>
      <c r="G215" t="s">
        <v>400</v>
      </c>
    </row>
    <row r="216" spans="1:11" x14ac:dyDescent="0.25">
      <c r="A216" s="38">
        <v>4891</v>
      </c>
      <c r="B216" s="39">
        <v>574.67999999999995</v>
      </c>
      <c r="C216" s="39">
        <v>28.68</v>
      </c>
      <c r="D216" s="39">
        <v>546</v>
      </c>
      <c r="E216" s="39">
        <v>0</v>
      </c>
      <c r="F216" s="62">
        <v>546</v>
      </c>
      <c r="G216" t="s">
        <v>400</v>
      </c>
    </row>
    <row r="217" spans="1:11" x14ac:dyDescent="0.25">
      <c r="A217" s="38">
        <v>4892</v>
      </c>
      <c r="B217" s="39">
        <v>780</v>
      </c>
      <c r="C217" s="39">
        <v>0</v>
      </c>
      <c r="D217" s="39">
        <v>780</v>
      </c>
      <c r="E217" s="39">
        <v>0</v>
      </c>
      <c r="F217" s="62">
        <v>780</v>
      </c>
      <c r="G217" t="s">
        <v>400</v>
      </c>
    </row>
    <row r="218" spans="1:11" x14ac:dyDescent="0.25">
      <c r="A218" s="38">
        <v>4893</v>
      </c>
      <c r="B218" s="39">
        <v>19705.63</v>
      </c>
      <c r="C218" s="39">
        <v>0</v>
      </c>
      <c r="D218" s="39">
        <v>19705.63</v>
      </c>
      <c r="E218" s="39">
        <v>0</v>
      </c>
      <c r="F218" s="62">
        <v>19705.63</v>
      </c>
      <c r="G218" t="s">
        <v>400</v>
      </c>
    </row>
    <row r="219" spans="1:11" x14ac:dyDescent="0.25">
      <c r="A219" s="38">
        <v>4894</v>
      </c>
      <c r="B219" s="39">
        <v>3630.86</v>
      </c>
      <c r="C219" s="39">
        <v>0</v>
      </c>
      <c r="D219" s="39">
        <v>3630.86</v>
      </c>
      <c r="E219" s="39">
        <v>0</v>
      </c>
      <c r="F219" s="62">
        <v>3630.86</v>
      </c>
      <c r="G219" t="s">
        <v>400</v>
      </c>
    </row>
    <row r="220" spans="1:11" x14ac:dyDescent="0.25">
      <c r="A220" s="38">
        <v>4895</v>
      </c>
      <c r="B220" s="39">
        <v>625</v>
      </c>
      <c r="C220" s="39">
        <v>0</v>
      </c>
      <c r="D220" s="39">
        <v>625</v>
      </c>
      <c r="E220" s="39">
        <v>0</v>
      </c>
      <c r="F220" s="62">
        <v>625</v>
      </c>
      <c r="G220" t="s">
        <v>400</v>
      </c>
    </row>
    <row r="221" spans="1:11" x14ac:dyDescent="0.25">
      <c r="A221" s="38">
        <v>4896</v>
      </c>
      <c r="B221" s="39">
        <v>1178.92</v>
      </c>
      <c r="C221" s="39">
        <v>0</v>
      </c>
      <c r="D221" s="39">
        <v>1178.92</v>
      </c>
      <c r="E221" s="39">
        <v>0</v>
      </c>
      <c r="F221" s="62">
        <v>1178.92</v>
      </c>
      <c r="G221" t="s">
        <v>400</v>
      </c>
    </row>
    <row r="222" spans="1:11" x14ac:dyDescent="0.25">
      <c r="A222" s="38">
        <v>4897</v>
      </c>
      <c r="B222" s="39">
        <v>2768.46</v>
      </c>
      <c r="C222" s="39">
        <v>0</v>
      </c>
      <c r="D222" s="39">
        <v>2768.46</v>
      </c>
      <c r="E222" s="39">
        <v>0</v>
      </c>
      <c r="F222" s="62">
        <v>2768.46</v>
      </c>
      <c r="G222" t="s">
        <v>400</v>
      </c>
    </row>
    <row r="223" spans="1:11" x14ac:dyDescent="0.25">
      <c r="A223" s="38">
        <v>4899</v>
      </c>
      <c r="B223" s="39">
        <v>515.78</v>
      </c>
      <c r="C223" s="39">
        <v>0</v>
      </c>
      <c r="D223" s="39">
        <v>515.78</v>
      </c>
      <c r="E223" s="39">
        <v>90</v>
      </c>
      <c r="F223" s="62">
        <v>515.78</v>
      </c>
      <c r="G223" t="s">
        <v>400</v>
      </c>
      <c r="H223" s="20"/>
      <c r="I223" s="20"/>
      <c r="J223" s="20"/>
      <c r="K223" s="20"/>
    </row>
    <row r="224" spans="1:11" x14ac:dyDescent="0.25">
      <c r="A224" s="38">
        <v>4900</v>
      </c>
      <c r="B224" s="39">
        <v>1760</v>
      </c>
      <c r="C224" s="39">
        <v>0</v>
      </c>
      <c r="D224" s="39">
        <v>1760</v>
      </c>
      <c r="E224" s="39">
        <v>0</v>
      </c>
      <c r="F224" s="62">
        <v>1760</v>
      </c>
      <c r="G224" t="s">
        <v>400</v>
      </c>
    </row>
    <row r="225" spans="1:11" x14ac:dyDescent="0.25">
      <c r="A225" s="38">
        <v>4901</v>
      </c>
      <c r="B225" s="39">
        <v>2651.15</v>
      </c>
      <c r="C225" s="39">
        <v>0</v>
      </c>
      <c r="D225" s="39">
        <v>2651.15</v>
      </c>
      <c r="E225" s="39">
        <v>0</v>
      </c>
      <c r="F225" s="62">
        <v>2651.15</v>
      </c>
      <c r="G225" t="s">
        <v>400</v>
      </c>
    </row>
    <row r="226" spans="1:11" x14ac:dyDescent="0.25">
      <c r="A226" s="38">
        <v>4902</v>
      </c>
      <c r="B226" s="39">
        <v>350.4</v>
      </c>
      <c r="C226" s="39">
        <v>0</v>
      </c>
      <c r="D226" s="39">
        <v>350.4</v>
      </c>
      <c r="E226" s="39">
        <v>0</v>
      </c>
      <c r="F226" s="62">
        <v>350.4</v>
      </c>
      <c r="G226" t="s">
        <v>400</v>
      </c>
    </row>
    <row r="227" spans="1:11" x14ac:dyDescent="0.25">
      <c r="A227" s="38">
        <v>4903</v>
      </c>
      <c r="B227" s="39">
        <v>1484.59</v>
      </c>
      <c r="C227" s="39">
        <v>0</v>
      </c>
      <c r="D227" s="39">
        <v>1484.59</v>
      </c>
      <c r="E227" s="39">
        <v>0</v>
      </c>
      <c r="F227" s="62">
        <v>1484.59</v>
      </c>
      <c r="G227" t="s">
        <v>400</v>
      </c>
    </row>
    <row r="228" spans="1:11" x14ac:dyDescent="0.25">
      <c r="A228" s="38">
        <v>4904</v>
      </c>
      <c r="B228" s="39">
        <v>280</v>
      </c>
      <c r="C228" s="39">
        <v>0</v>
      </c>
      <c r="D228" s="39">
        <v>280</v>
      </c>
      <c r="E228" s="39">
        <v>7</v>
      </c>
      <c r="F228" s="62">
        <v>280</v>
      </c>
      <c r="G228" t="s">
        <v>400</v>
      </c>
    </row>
    <row r="229" spans="1:11" x14ac:dyDescent="0.25">
      <c r="A229" s="38">
        <v>4905</v>
      </c>
      <c r="B229" s="39">
        <v>449.95</v>
      </c>
      <c r="C229" s="39">
        <v>0</v>
      </c>
      <c r="D229" s="39">
        <v>449.95</v>
      </c>
      <c r="E229" s="39">
        <v>30</v>
      </c>
      <c r="F229" s="62">
        <v>449.95</v>
      </c>
      <c r="G229" t="s">
        <v>400</v>
      </c>
      <c r="H229" s="20"/>
      <c r="I229" s="20"/>
      <c r="J229" s="20"/>
      <c r="K229" s="20"/>
    </row>
    <row r="230" spans="1:11" x14ac:dyDescent="0.25">
      <c r="A230" s="38">
        <v>4906</v>
      </c>
      <c r="B230" s="39">
        <v>1490</v>
      </c>
      <c r="C230" s="39">
        <v>0</v>
      </c>
      <c r="D230" s="39">
        <v>1490</v>
      </c>
      <c r="E230" s="39">
        <v>0</v>
      </c>
      <c r="F230" s="62">
        <v>1490</v>
      </c>
      <c r="G230" t="s">
        <v>400</v>
      </c>
    </row>
    <row r="231" spans="1:11" x14ac:dyDescent="0.25">
      <c r="A231" s="38">
        <v>4907</v>
      </c>
      <c r="B231" s="39">
        <v>728.35</v>
      </c>
      <c r="C231" s="39">
        <v>35.85</v>
      </c>
      <c r="D231" s="39">
        <v>692.5</v>
      </c>
      <c r="E231" s="39">
        <v>0</v>
      </c>
      <c r="F231" s="62">
        <v>692.5</v>
      </c>
      <c r="G231" t="s">
        <v>400</v>
      </c>
    </row>
    <row r="232" spans="1:11" x14ac:dyDescent="0.25">
      <c r="A232" s="38">
        <v>4908</v>
      </c>
      <c r="B232" s="39">
        <v>2175.38</v>
      </c>
      <c r="C232" s="39">
        <v>0</v>
      </c>
      <c r="D232" s="39">
        <v>2175.38</v>
      </c>
      <c r="E232" s="39">
        <v>0</v>
      </c>
      <c r="F232" s="62">
        <v>2175.38</v>
      </c>
      <c r="G232" t="s">
        <v>400</v>
      </c>
    </row>
    <row r="233" spans="1:11" x14ac:dyDescent="0.25">
      <c r="A233" s="38">
        <v>4909</v>
      </c>
      <c r="B233" s="39">
        <v>277</v>
      </c>
      <c r="C233" s="39">
        <v>0</v>
      </c>
      <c r="D233" s="39">
        <v>277</v>
      </c>
      <c r="E233" s="39">
        <v>0</v>
      </c>
      <c r="F233" s="62">
        <v>277</v>
      </c>
      <c r="G233" t="s">
        <v>400</v>
      </c>
    </row>
    <row r="234" spans="1:11" x14ac:dyDescent="0.25">
      <c r="A234" s="38">
        <v>4910</v>
      </c>
      <c r="B234" s="39">
        <v>150</v>
      </c>
      <c r="C234" s="39">
        <v>0</v>
      </c>
      <c r="D234" s="39">
        <v>150</v>
      </c>
      <c r="E234" s="39">
        <v>0</v>
      </c>
      <c r="F234" s="62">
        <v>150</v>
      </c>
      <c r="G234" t="s">
        <v>400</v>
      </c>
    </row>
    <row r="235" spans="1:11" x14ac:dyDescent="0.25">
      <c r="A235" s="38">
        <v>4911</v>
      </c>
      <c r="B235" s="39">
        <v>445.84</v>
      </c>
      <c r="C235" s="39">
        <v>0</v>
      </c>
      <c r="D235" s="39">
        <v>445.84</v>
      </c>
      <c r="E235" s="39">
        <v>0</v>
      </c>
      <c r="F235" s="62">
        <v>445.84</v>
      </c>
      <c r="G235" t="s">
        <v>400</v>
      </c>
    </row>
    <row r="236" spans="1:11" x14ac:dyDescent="0.25">
      <c r="A236" s="38">
        <v>4912</v>
      </c>
      <c r="B236" s="39">
        <v>2900</v>
      </c>
      <c r="C236" s="39">
        <v>0</v>
      </c>
      <c r="D236" s="39">
        <v>2900</v>
      </c>
      <c r="E236" s="39">
        <v>0</v>
      </c>
      <c r="F236" s="62">
        <v>2900</v>
      </c>
      <c r="G236" t="s">
        <v>400</v>
      </c>
    </row>
    <row r="237" spans="1:11" x14ac:dyDescent="0.25">
      <c r="A237" s="38">
        <v>4913</v>
      </c>
      <c r="B237" s="39">
        <v>1187.4000000000001</v>
      </c>
      <c r="C237" s="39">
        <v>0</v>
      </c>
      <c r="D237" s="39">
        <v>1187.4000000000001</v>
      </c>
      <c r="E237" s="39">
        <v>0</v>
      </c>
      <c r="F237" s="62">
        <v>1187.4000000000001</v>
      </c>
      <c r="G237" t="s">
        <v>400</v>
      </c>
    </row>
    <row r="238" spans="1:11" x14ac:dyDescent="0.25">
      <c r="A238" s="38">
        <v>4914</v>
      </c>
      <c r="B238" s="39">
        <v>1670.37</v>
      </c>
      <c r="C238" s="39">
        <v>0</v>
      </c>
      <c r="D238" s="39">
        <v>1670.37</v>
      </c>
      <c r="E238" s="39">
        <v>0</v>
      </c>
      <c r="F238" s="62">
        <v>1670.37</v>
      </c>
      <c r="G238" t="s">
        <v>400</v>
      </c>
    </row>
    <row r="239" spans="1:11" x14ac:dyDescent="0.25">
      <c r="A239" s="38">
        <v>4915</v>
      </c>
      <c r="B239" s="39">
        <v>1771.08</v>
      </c>
      <c r="C239" s="39">
        <v>0</v>
      </c>
      <c r="D239" s="39">
        <v>1771.08</v>
      </c>
      <c r="E239" s="39">
        <v>0</v>
      </c>
      <c r="F239" s="62">
        <v>1771.08</v>
      </c>
      <c r="G239" t="s">
        <v>400</v>
      </c>
    </row>
    <row r="240" spans="1:11" x14ac:dyDescent="0.25">
      <c r="A240" s="38">
        <v>4916</v>
      </c>
      <c r="B240" s="39">
        <v>447.58</v>
      </c>
      <c r="C240" s="39">
        <v>0</v>
      </c>
      <c r="D240" s="39">
        <v>447.58</v>
      </c>
      <c r="E240" s="39">
        <v>30</v>
      </c>
      <c r="F240" s="62">
        <v>447.58</v>
      </c>
      <c r="G240" t="s">
        <v>400</v>
      </c>
    </row>
    <row r="241" spans="1:7" x14ac:dyDescent="0.25">
      <c r="A241" s="38">
        <v>4917</v>
      </c>
      <c r="B241" s="39">
        <v>2937.85</v>
      </c>
      <c r="C241" s="39">
        <v>0</v>
      </c>
      <c r="D241" s="39">
        <v>2937.85</v>
      </c>
      <c r="E241" s="39">
        <v>0</v>
      </c>
      <c r="F241" s="62">
        <v>2937.85</v>
      </c>
      <c r="G241" t="s">
        <v>400</v>
      </c>
    </row>
    <row r="242" spans="1:7" x14ac:dyDescent="0.25">
      <c r="A242" s="38">
        <v>4918</v>
      </c>
      <c r="B242" s="39">
        <v>2242.5</v>
      </c>
      <c r="C242" s="39">
        <v>0</v>
      </c>
      <c r="D242" s="39">
        <v>2242.5</v>
      </c>
      <c r="E242" s="39">
        <v>0</v>
      </c>
      <c r="F242" s="62">
        <v>2242.5</v>
      </c>
      <c r="G242" t="s">
        <v>400</v>
      </c>
    </row>
    <row r="243" spans="1:7" x14ac:dyDescent="0.25">
      <c r="A243" s="38">
        <v>4919</v>
      </c>
      <c r="B243" s="39">
        <v>780</v>
      </c>
      <c r="C243" s="39">
        <v>0</v>
      </c>
      <c r="D243" s="39">
        <v>780</v>
      </c>
      <c r="E243" s="39">
        <v>0</v>
      </c>
      <c r="F243" s="62">
        <v>780</v>
      </c>
      <c r="G243" t="s">
        <v>400</v>
      </c>
    </row>
    <row r="244" spans="1:7" x14ac:dyDescent="0.25">
      <c r="A244" s="38">
        <v>4926</v>
      </c>
      <c r="B244" s="39">
        <v>2017.71</v>
      </c>
      <c r="C244" s="39">
        <v>0</v>
      </c>
      <c r="D244" s="39">
        <v>2017.71</v>
      </c>
      <c r="E244" s="39">
        <v>0</v>
      </c>
      <c r="F244" s="62">
        <v>2017.71</v>
      </c>
      <c r="G244" t="s">
        <v>400</v>
      </c>
    </row>
    <row r="245" spans="1:7" x14ac:dyDescent="0.25">
      <c r="A245" s="38">
        <v>4927</v>
      </c>
      <c r="B245" s="39">
        <v>2114.31</v>
      </c>
      <c r="C245" s="39">
        <v>0</v>
      </c>
      <c r="D245" s="39">
        <v>2114.31</v>
      </c>
      <c r="E245" s="39">
        <v>0</v>
      </c>
      <c r="F245" s="62">
        <v>2114.31</v>
      </c>
      <c r="G245" t="s">
        <v>400</v>
      </c>
    </row>
    <row r="246" spans="1:7" x14ac:dyDescent="0.25">
      <c r="A246" s="38">
        <v>4928</v>
      </c>
      <c r="B246" s="39">
        <v>1540</v>
      </c>
      <c r="C246" s="39">
        <v>0</v>
      </c>
      <c r="D246" s="39">
        <v>1540</v>
      </c>
      <c r="E246" s="39">
        <v>0</v>
      </c>
      <c r="F246" s="62">
        <v>1540</v>
      </c>
      <c r="G246" t="s">
        <v>400</v>
      </c>
    </row>
    <row r="247" spans="1:7" x14ac:dyDescent="0.25">
      <c r="A247" s="38">
        <v>4929</v>
      </c>
      <c r="B247" s="39">
        <v>13356.9</v>
      </c>
      <c r="C247" s="39">
        <v>0</v>
      </c>
      <c r="D247" s="39">
        <v>13356.9</v>
      </c>
      <c r="E247" s="39">
        <v>0</v>
      </c>
      <c r="F247" s="62">
        <v>13356.9</v>
      </c>
      <c r="G247" t="s">
        <v>400</v>
      </c>
    </row>
    <row r="248" spans="1:7" x14ac:dyDescent="0.25">
      <c r="A248" s="38">
        <v>4930</v>
      </c>
      <c r="B248" s="39">
        <v>1260.96</v>
      </c>
      <c r="C248" s="39">
        <v>0</v>
      </c>
      <c r="D248" s="39">
        <v>1260.96</v>
      </c>
      <c r="E248" s="39">
        <v>0</v>
      </c>
      <c r="F248" s="62">
        <v>1260.96</v>
      </c>
      <c r="G248" t="s">
        <v>400</v>
      </c>
    </row>
    <row r="249" spans="1:7" x14ac:dyDescent="0.25">
      <c r="A249" s="38">
        <v>4931</v>
      </c>
      <c r="B249" s="39">
        <v>113.06</v>
      </c>
      <c r="C249" s="39">
        <v>4.0599999999999996</v>
      </c>
      <c r="D249" s="39">
        <v>109</v>
      </c>
      <c r="E249" s="39">
        <v>12</v>
      </c>
      <c r="F249" s="62">
        <v>109</v>
      </c>
      <c r="G249" t="s">
        <v>400</v>
      </c>
    </row>
    <row r="250" spans="1:7" x14ac:dyDescent="0.25">
      <c r="A250" s="38">
        <v>4932</v>
      </c>
      <c r="B250" s="39">
        <v>1800</v>
      </c>
      <c r="C250" s="39">
        <v>0</v>
      </c>
      <c r="D250" s="39">
        <v>1800</v>
      </c>
      <c r="E250" s="39">
        <v>0</v>
      </c>
      <c r="F250" s="62">
        <v>1800</v>
      </c>
      <c r="G250" t="s">
        <v>400</v>
      </c>
    </row>
    <row r="251" spans="1:7" x14ac:dyDescent="0.25">
      <c r="A251" s="38">
        <v>4933</v>
      </c>
      <c r="B251" s="39">
        <v>221.8</v>
      </c>
      <c r="C251" s="39">
        <v>0</v>
      </c>
      <c r="D251" s="39">
        <v>221.8</v>
      </c>
      <c r="E251" s="39">
        <v>0</v>
      </c>
      <c r="F251" s="62">
        <v>221.8</v>
      </c>
      <c r="G251" t="s">
        <v>400</v>
      </c>
    </row>
    <row r="252" spans="1:7" x14ac:dyDescent="0.25">
      <c r="A252" s="38">
        <v>4934</v>
      </c>
      <c r="B252" s="39">
        <v>2298.7199999999998</v>
      </c>
      <c r="C252" s="39">
        <v>0</v>
      </c>
      <c r="D252" s="39">
        <v>2298.7199999999998</v>
      </c>
      <c r="E252" s="39">
        <v>0</v>
      </c>
      <c r="F252" s="62">
        <v>2298.7199999999998</v>
      </c>
      <c r="G252" t="s">
        <v>400</v>
      </c>
    </row>
    <row r="253" spans="1:7" x14ac:dyDescent="0.25">
      <c r="A253" s="38">
        <v>4935</v>
      </c>
      <c r="B253" s="39">
        <v>2316</v>
      </c>
      <c r="C253" s="39">
        <v>0</v>
      </c>
      <c r="D253" s="39">
        <v>2316</v>
      </c>
      <c r="E253" s="39">
        <v>0</v>
      </c>
      <c r="F253" s="62">
        <v>2316</v>
      </c>
      <c r="G253" t="s">
        <v>400</v>
      </c>
    </row>
    <row r="254" spans="1:7" x14ac:dyDescent="0.25">
      <c r="A254" s="38">
        <v>4937</v>
      </c>
      <c r="B254" s="39">
        <v>5495.4</v>
      </c>
      <c r="C254" s="39">
        <v>0</v>
      </c>
      <c r="D254" s="39">
        <v>5495.4</v>
      </c>
      <c r="E254" s="39">
        <v>0</v>
      </c>
      <c r="F254" s="62">
        <v>5495.4</v>
      </c>
      <c r="G254" t="s">
        <v>400</v>
      </c>
    </row>
    <row r="255" spans="1:7" x14ac:dyDescent="0.25">
      <c r="A255" s="35"/>
      <c r="B255" s="34"/>
      <c r="C255" s="34"/>
      <c r="D255" s="34"/>
      <c r="E255" s="34"/>
    </row>
    <row r="256" spans="1:7" x14ac:dyDescent="0.25">
      <c r="A256" s="40"/>
      <c r="B256" s="37" t="s">
        <v>348</v>
      </c>
      <c r="C256" s="37" t="s">
        <v>349</v>
      </c>
      <c r="D256" s="37" t="s">
        <v>350</v>
      </c>
      <c r="E256" s="37" t="s">
        <v>352</v>
      </c>
    </row>
    <row r="257" spans="1:5" x14ac:dyDescent="0.25">
      <c r="A257" s="41" t="s">
        <v>357</v>
      </c>
      <c r="B257" s="42">
        <v>200258.71</v>
      </c>
      <c r="C257" s="42">
        <v>2157.79</v>
      </c>
      <c r="D257" s="42">
        <v>198100.92</v>
      </c>
      <c r="E257" s="42">
        <v>330</v>
      </c>
    </row>
    <row r="258" spans="1:5" x14ac:dyDescent="0.25">
      <c r="A258" s="43" t="s">
        <v>353</v>
      </c>
      <c r="B258" s="44">
        <v>1680</v>
      </c>
      <c r="C258" s="44">
        <v>42.86</v>
      </c>
      <c r="D258" s="44">
        <v>1637.14</v>
      </c>
      <c r="E258" s="43" t="s">
        <v>355</v>
      </c>
    </row>
    <row r="259" spans="1:5" x14ac:dyDescent="0.25">
      <c r="A259" s="41" t="s">
        <v>354</v>
      </c>
      <c r="B259" s="42">
        <v>198578.71</v>
      </c>
      <c r="C259" s="42">
        <v>2114.9299999999998</v>
      </c>
      <c r="D259" s="42">
        <v>196463.78</v>
      </c>
      <c r="E259" s="43" t="s">
        <v>355</v>
      </c>
    </row>
  </sheetData>
  <autoFilter ref="A1:G254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Ponte de Comando</vt:lpstr>
      <vt:lpstr>Relatório Vendas por Pedido</vt:lpstr>
      <vt:lpstr>Comissão Vendedores</vt:lpstr>
      <vt:lpstr>Relatório Vendas por 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edcarlos@xprocess.com.br</dc:creator>
  <cp:lastModifiedBy>edcarlos@xprocess.com.br</cp:lastModifiedBy>
  <dcterms:created xsi:type="dcterms:W3CDTF">2026-06-20T14:39:41Z</dcterms:created>
  <dcterms:modified xsi:type="dcterms:W3CDTF">2026-06-22T14:36:06Z</dcterms:modified>
</cp:coreProperties>
</file>